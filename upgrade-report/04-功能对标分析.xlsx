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afa2565c545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+对标项目" sheetId="1" r:id="Rab5fe53b1a1a456b"/>
    <x:sheet xmlns:r="http://schemas.openxmlformats.org/officeDocument/2006/relationships" name="功能频次" sheetId="2" r:id="R365293779b7849c5"/>
    <x:sheet xmlns:r="http://schemas.openxmlformats.org/officeDocument/2006/relationships" name="对标总览" sheetId="3" r:id="Radceb63a447b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047857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b/>
      <x:sz val="13"/>
      <x:name val="Carlito"/>
    </x:font>
    <x:font>
      <x:sz val="10"/>
      <x:color rgb="FF66708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5F46"/>
      </x:patternFill>
    </x:fill>
    <x:fill>
      <x:patternFill patternType="solid">
        <x:fgColor rgb="FF047857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A7F3D0"/>
      </x:left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horizontal="right"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200" fontId="6" fillId="4" borderId="1" xfId="0" applyNumberFormat="1" applyFont="1" applyFill="1" applyBorder="1" applyAlignment="1">
      <x:alignment horizontal="center" vertical="center"/>
    </x:xf>
    <x:xf numFmtId="201" fontId="6" fillId="4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071b4ca6643b0" /><Relationship Type="http://schemas.openxmlformats.org/officeDocument/2006/relationships/theme" Target="/xl/theme/theme1.xml" Id="Ra08f0d3e85c54667" /><Relationship Type="http://schemas.openxmlformats.org/officeDocument/2006/relationships/sharedStrings" Target="/xl/sharedStrings.xml" Id="R6b3b6804e4a94d89" /><Relationship Type="http://schemas.openxmlformats.org/officeDocument/2006/relationships/worksheet" Target="/xl/worksheets/sheet1.xml" Id="Rab5fe53b1a1a456b" /><Relationship Type="http://schemas.openxmlformats.org/officeDocument/2006/relationships/worksheet" Target="/xl/worksheets/sheet2.xml" Id="R365293779b7849c5" /><Relationship Type="http://schemas.openxmlformats.org/officeDocument/2006/relationships/worksheet" Target="/xl/worksheets/sheet3.xml" Id="Radceb63a447b4b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a127578d8245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Top 10 项目 Stars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'对标总览'!$A$7:$A$16</c:f>
              <c:strCache>
                <c:ptCount val="0"/>
              </c:strCache>
            </c:strRef>
          </c:cat>
          <c:val>
            <c:numRef>
              <c:f>'对标总览'!$B$7:$B$16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a127578d8245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7ede87f40e449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0" hidden="0" customWidth="1"/>
    <x:col min="3" max="3" width="10" hidden="0" customWidth="1"/>
    <x:col min="4" max="4" width="13" hidden="0" customWidth="1"/>
    <x:col min="5" max="5" width="10" hidden="0" customWidth="1"/>
    <x:col min="6" max="6" width="52" hidden="0" customWidth="1"/>
    <x:col min="7" max="7" width="52" hidden="0" customWidth="1"/>
    <x:col min="8" max="8" width="22" hidden="0" customWidth="1"/>
    <x:col min="9" max="9" width="16" hidden="0" customWidth="1"/>
    <x:col min="10" max="10" width="10" hidden="0" customWidth="1"/>
    <x:col min="11" max="11" width="16" hidden="0" customWidth="1"/>
    <x:col min="12" max="12" width="26" hidden="0" customWidth="1"/>
    <x:col min="13" max="13" width="32" hidden="0" customWidth="1"/>
  </x:cols>
  <x:sheetData>
    <x:row r="1" ht="28" customHeight="1">
      <x:c r="A1" s="5" t="str">
        <x:v>#</x:v>
      </x:c>
      <x:c r="B1" s="5" t="str">
        <x:v>项目名</x:v>
      </x:c>
      <x:c r="C1" s="5" t="str">
        <x:v>Stars</x:v>
      </x:c>
      <x:c r="D1" s="5" t="str">
        <x:v>最近更新</x:v>
      </x:c>
      <x:c r="E1" s="5" t="str">
        <x:v>语言</x:v>
      </x:c>
      <x:c r="F1" s="5" t="str">
        <x:v>项目地址</x:v>
      </x:c>
      <x:c r="G1" s="5" t="str">
        <x:v>核心功能</x:v>
      </x:c>
      <x:c r="H1" s="5" t="str">
        <x:v>功能分类</x:v>
      </x:c>
      <x:c r="I1" s="5" t="str">
        <x:v>我们的项目是否有此功能</x:v>
      </x:c>
      <x:c r="J1" s="5" t="str">
        <x:v>功能成熟度</x:v>
      </x:c>
      <x:c r="K1" s="5" t="str">
        <x:v>是否值得引入</x:v>
      </x:c>
      <x:c r="L1" s="5" t="str">
        <x:v>建议引入方式</x:v>
      </x:c>
      <x:c r="M1" s="5" t="str">
        <x:v>对标标签</x:v>
      </x:c>
    </x:row>
    <x:row r="2" ht="46" customHeight="1">
      <x:c r="A2" s="9" t="n">
        <x:v>1</x:v>
      </x:c>
      <x:c r="B2" s="8" t="str">
        <x:v>imputnet/cobalt</x:v>
      </x:c>
      <x:c r="C2" s="11" t="n">
        <x:v>41933</x:v>
      </x:c>
      <x:c r="D2" s="13" t="n">
        <x:v>46118.4999537037</x:v>
      </x:c>
      <x:c r="E2" s="9" t="str">
        <x:v>Svelte</x:v>
      </x:c>
      <x:c r="F2" s="15" t="str">
        <x:v>https://github.com/imputnet/cobalt</x:v>
      </x:c>
      <x:c r="G2" s="14" t="str">
        <x:v>best way to save what you love</x:v>
      </x:c>
      <x:c r="H2" s="8" t="str">
        <x:v>多平台解析/下载、Web API / 解析服务、音频/音乐下载</x:v>
      </x:c>
      <x:c r="I2" s="9" t="str">
        <x:v>有</x:v>
      </x:c>
      <x:c r="J2" s="9" t="str">
        <x:v>高</x:v>
      </x:c>
      <x:c r="K2" s="9" t="str">
        <x:v>是（参考）</x:v>
      </x:c>
      <x:c r="L2" s="8" t="str">
        <x:v>参考多平台适配架构</x:v>
      </x:c>
      <x:c r="M2" s="8" t="str">
        <x:v>多平台解析/下载、Web API / 解析服务、音频/音乐下载</x:v>
      </x:c>
    </x:row>
    <x:row r="3" ht="46" customHeight="1">
      <x:c r="A3" s="9" t="n">
        <x:v>2</x:v>
      </x:c>
      <x:c r="B3" s="8" t="str">
        <x:v>xifangczy/cat-catch</x:v>
      </x:c>
      <x:c r="C3" s="11" t="n">
        <x:v>21117</x:v>
      </x:c>
      <x:c r="D3" s="13" t="n">
        <x:v>46237.7677662037</x:v>
      </x:c>
      <x:c r="E3" s="9" t="str">
        <x:v>JavaScript</x:v>
      </x:c>
      <x:c r="F3" s="15" t="str">
        <x:v>https://github.com/xifangczy/cat-catch</x:v>
      </x:c>
      <x:c r="G3" s="14" t="str">
        <x:v>猫抓 浏览器资源嗅探扩展 / cat-catch Browser Resource Sniffing Extension</x:v>
      </x:c>
      <x:c r="H3" s="8" t="str">
        <x:v>多平台解析/下载、直播录制/解析、浏览器扩展</x:v>
      </x:c>
      <x:c r="I3" s="9" t="str">
        <x:v>部分</x:v>
      </x:c>
      <x:c r="J3" s="9" t="str">
        <x:v>高</x:v>
      </x:c>
      <x:c r="K3" s="9" t="str">
        <x:v>是（参考）</x:v>
      </x:c>
      <x:c r="L3" s="8" t="str">
        <x:v>参考多平台适配架构</x:v>
      </x:c>
      <x:c r="M3" s="8" t="str">
        <x:v>多平台解析/下载、直播录制/解析、浏览器扩展、M3U8/HLS/DASH 支持</x:v>
      </x:c>
    </x:row>
    <x:row r="4" ht="46" customHeight="1">
      <x:c r="A4" s="9" t="n">
        <x:v>3</x:v>
      </x:c>
      <x:c r="B4" s="8" t="str">
        <x:v>putyy/res-downloader</x:v>
      </x:c>
      <x:c r="C4" s="11" t="n">
        <x:v>18934</x:v>
      </x:c>
      <x:c r="D4" s="13" t="n">
        <x:v>46191.996712962966</x:v>
      </x:c>
      <x:c r="E4" s="9" t="str">
        <x:v>Go</x:v>
      </x:c>
      <x:c r="F4" s="15" t="str">
        <x:v>https://github.com/putyy/res-downloader</x:v>
      </x:c>
      <x:c r="G4" s="14" t="str">
        <x:v>视频号、小程序、抖音、快手、小红书、直播流、m3u8、酷狗、QQ音乐等常见网络资源下载!</x:v>
      </x:c>
      <x:c r="H4" s="8" t="str">
        <x:v>多平台解析/下载、直播录制/解析、音频/音乐下载</x:v>
      </x:c>
      <x:c r="I4" s="9" t="str">
        <x:v>部分</x:v>
      </x:c>
      <x:c r="J4" s="9" t="str">
        <x:v>高</x:v>
      </x:c>
      <x:c r="K4" s="9" t="str">
        <x:v>是（参考）</x:v>
      </x:c>
      <x:c r="L4" s="8" t="str">
        <x:v>参考多平台适配架构</x:v>
      </x:c>
      <x:c r="M4" s="8" t="str">
        <x:v>多平台解析/下载、直播录制/解析、音频/音乐下载、AI 去字幕/去水印、M3U8/HLS/DASH 支持</x:v>
      </x:c>
    </x:row>
    <x:row r="5" ht="46" customHeight="1">
      <x:c r="A5" s="9" t="n">
        <x:v>4</x:v>
      </x:c>
      <x:c r="B5" s="8" t="str">
        <x:v>JoeanAmier/TikTokDownloader</x:v>
      </x:c>
      <x:c r="C5" s="11" t="n">
        <x:v>15311</x:v>
      </x:c>
      <x:c r="D5" s="13" t="n">
        <x:v>46236.13667824074</x:v>
      </x:c>
      <x:c r="E5" s="9" t="str">
        <x:v>Python</x:v>
      </x:c>
      <x:c r="F5" s="15" t="str">
        <x:v>https://github.com/JoeanAmier/TikTokDownloader</x:v>
      </x:c>
      <x:c r="G5" s="14" t="str">
        <x:v>TikTok 发布/喜欢/合辑/直播/视频/图集/音乐；抖音发布/喜欢/收藏/收藏夹/视频/图集/实况/直播/音乐/合集/评论/账号/搜索/热榜数据采集工具/下载工具</x:v>
      </x:c>
      <x:c r="H5" s="8" t="str">
        <x:v>多平台解析/下载、批量/主页下载、直播录制/解析</x:v>
      </x:c>
      <x:c r="I5" s="9" t="str">
        <x:v>有</x:v>
      </x:c>
      <x:c r="J5" s="9" t="str">
        <x:v>高</x:v>
      </x:c>
      <x:c r="K5" s="9" t="str">
        <x:v>是（参考）</x:v>
      </x:c>
      <x:c r="L5" s="8" t="str">
        <x:v>参考多平台适配架构</x:v>
      </x:c>
      <x:c r="M5" s="8" t="str">
        <x:v>多平台解析/下载、批量/主页下载、直播录制/解析、Web API / 解析服务、搜索/账号数据采集、音频/音乐下载、历史/备份/存档</x:v>
      </x:c>
    </x:row>
    <x:row r="6" ht="46" customHeight="1">
      <x:c r="A6" s="9" t="n">
        <x:v>5</x:v>
      </x:c>
      <x:c r="B6" s="8" t="str">
        <x:v>dreammis/social-auto-upload</x:v>
      </x:c>
      <x:c r="C6" s="11" t="n">
        <x:v>13962</x:v>
      </x:c>
      <x:c r="D6" s="13" t="n">
        <x:v>46234.204930555556</x:v>
      </x:c>
      <x:c r="E6" s="9" t="str">
        <x:v>Python</x:v>
      </x:c>
      <x:c r="F6" s="15" t="str">
        <x:v>https://github.com/dreammis/social-auto-upload</x:v>
      </x:c>
      <x:c r="G6" s="14" t="str">
        <x:v>自动化上传视频到社交媒体：抖音、小红书、视频号、tiktok、youtube、bilibili</x:v>
      </x:c>
      <x:c r="H6" s="8" t="str">
        <x:v>多平台解析/下载</x:v>
      </x:c>
      <x:c r="I6" s="9" t="str">
        <x:v>部分</x:v>
      </x:c>
      <x:c r="J6" s="9" t="str">
        <x:v>高</x:v>
      </x:c>
      <x:c r="K6" s="9" t="str">
        <x:v>是（参考）</x:v>
      </x:c>
      <x:c r="L6" s="8" t="str">
        <x:v>参考多平台适配架构</x:v>
      </x:c>
      <x:c r="M6" s="8" t="str">
        <x:v>多平台解析/下载</x:v>
      </x:c>
    </x:row>
    <x:row r="7" ht="46" customHeight="1">
      <x:c r="A7" s="9" t="n">
        <x:v>6</x:v>
      </x:c>
      <x:c r="B7" s="8" t="str">
        <x:v>YaoFANGUK/video-subtitle-remover</x:v>
      </x:c>
      <x:c r="C7" s="11" t="n">
        <x:v>12194</x:v>
      </x:c>
      <x:c r="D7" s="13" t="n">
        <x:v>46203.046435185184</x:v>
      </x:c>
      <x:c r="E7" s="9" t="str">
        <x:v>Python</x:v>
      </x:c>
      <x:c r="F7" s="15" t="str">
        <x:v>https://github.com/YaoFANGUK/video-subtitle-remover</x:v>
      </x:c>
      <x:c r="G7" s="14" t="str">
        <x:v>基于AI的图片/视频硬字幕去除、文本水印去除，无损分辨率生成去字幕、去水印后的图片/视频文件。无需申请第三方API，本地实现。AI-based tool for removing hard-coded subtitles and text-like watermarks from videos or Pictures.</x:v>
      </x:c>
      <x:c r="H7" s="8" t="str">
        <x:v>短视频/链接去水印、Web API / 解析服务、AI 去字幕/去水印</x:v>
      </x:c>
      <x:c r="I7" s="9" t="str">
        <x:v>有</x:v>
      </x:c>
      <x:c r="J7" s="9" t="str">
        <x:v>高</x:v>
      </x:c>
      <x:c r="K7" s="9" t="str">
        <x:v>是（参考）</x:v>
      </x:c>
      <x:c r="L7" s="8" t="str">
        <x:v>参考解析器与去水印链路</x:v>
      </x:c>
      <x:c r="M7" s="8" t="str">
        <x:v>短视频/链接去水印、Web API / 解析服务、AI 去字幕/去水印</x:v>
      </x:c>
    </x:row>
    <x:row r="8" ht="46" customHeight="1">
      <x:c r="A8" s="9" t="n">
        <x:v>7</x:v>
      </x:c>
      <x:c r="B8" s="8" t="str">
        <x:v>zyronon/douyin</x:v>
      </x:c>
      <x:c r="C8" s="11" t="n">
        <x:v>11516</x:v>
      </x:c>
      <x:c r="D8" s="13" t="n">
        <x:v>46224.63140046296</x:v>
      </x:c>
      <x:c r="E8" s="9" t="str">
        <x:v>Vue</x:v>
      </x:c>
      <x:c r="F8" s="15" t="str">
        <x:v>https://github.com/zyronon/douyin</x:v>
      </x:c>
      <x:c r="G8" s="14" t="str">
        <x:v> Vue3 + Pinia 仿抖音，Vue 在移动端的最佳实践 .  Imitate TikTok ，Vue Best practices on Mobile</x:v>
      </x:c>
      <x:c r="H8" s="8" t="str">
        <x:v>多平台解析/下载、移动端 App</x:v>
      </x:c>
      <x:c r="I8" s="9" t="str">
        <x:v>部分</x:v>
      </x:c>
      <x:c r="J8" s="9" t="str">
        <x:v>高</x:v>
      </x:c>
      <x:c r="K8" s="9" t="str">
        <x:v>是（参考）</x:v>
      </x:c>
      <x:c r="L8" s="8" t="str">
        <x:v>参考多平台适配架构</x:v>
      </x:c>
      <x:c r="M8" s="8" t="str">
        <x:v>多平台解析/下载、移动端 App</x:v>
      </x:c>
    </x:row>
    <x:row r="9" ht="46" customHeight="1">
      <x:c r="A9" s="9" t="n">
        <x:v>8</x:v>
      </x:c>
      <x:c r="B9" s="8" t="str">
        <x:v>filecxx/FileCentipede</x:v>
      </x:c>
      <x:c r="C9" s="11" t="n">
        <x:v>10892</x:v>
      </x:c>
      <x:c r="D9" s="13" t="n">
        <x:v>46229.35327546296</x:v>
      </x:c>
      <x:c r="E9" s="9" t="str">
        <x:v>C++</x:v>
      </x:c>
      <x:c r="F9" s="15" t="str">
        <x:v>https://github.com/filecxx/FileCentipede</x:v>
      </x:c>
      <x:c r="G9" s="14" t="str">
        <x:v>Cross-platform internet upload/download manager for HTTP(S), FTP(S), SSH, magnet-link, BitTorrent, m3u8, ed2k, and online videos.  WebDAV client, FTP client, SSH client.</x:v>
      </x:c>
      <x:c r="H9" s="8" t="str">
        <x:v>直播录制/解析、Web API / 解析服务、M3U8/HLS/DASH 支持</x:v>
      </x:c>
      <x:c r="I9" s="9" t="str">
        <x:v>有</x:v>
      </x:c>
      <x:c r="J9" s="9" t="str">
        <x:v>高</x:v>
      </x:c>
      <x:c r="K9" s="9" t="str">
        <x:v>是（参考）</x:v>
      </x:c>
      <x:c r="L9" s="8" t="str">
        <x:v>参考 API/部署设计</x:v>
      </x:c>
      <x:c r="M9" s="8" t="str">
        <x:v>直播录制/解析、Web API / 解析服务、M3U8/HLS/DASH 支持</x:v>
      </x:c>
    </x:row>
    <x:row r="10" ht="46" customHeight="1">
      <x:c r="A10" s="9" t="n">
        <x:v>9</x:v>
      </x:c>
      <x:c r="B10" s="8" t="str">
        <x:v>ihmily/DouyinLiveRecorder</x:v>
      </x:c>
      <x:c r="C10" s="11" t="n">
        <x:v>10641</x:v>
      </x:c>
      <x:c r="D10" s="13" t="n">
        <x:v>46113.61478009259</x:v>
      </x:c>
      <x:c r="E10" s="9" t="str">
        <x:v>Python</x:v>
      </x:c>
      <x:c r="F10" s="15" t="str">
        <x:v>https://github.com/ihmily/DouyinLiveRecorder</x:v>
      </x:c>
      <x:c r="G10" s="14" t="str">
        <x:v>可循环值守和多人录制的直播录制软件，支持抖音、TikTok、Youtube、快手、虎牙、斗鱼、B站、小红书、pandatv、sooplive、flextv、popkontv、twitcasting、winktv、百度、微博、酷狗、17Live、Twitch、Acfun、CHZZK、shopee等40+平台直播录制</x:v>
      </x:c>
      <x:c r="H10" s="8" t="str">
        <x:v>多平台解析/下载、直播录制/解析、Web API / 解析服务</x:v>
      </x:c>
      <x:c r="I10" s="9" t="str">
        <x:v>有</x:v>
      </x:c>
      <x:c r="J10" s="9" t="str">
        <x:v>高</x:v>
      </x:c>
      <x:c r="K10" s="9" t="str">
        <x:v>是（参考）</x:v>
      </x:c>
      <x:c r="L10" s="8" t="str">
        <x:v>参考多平台适配架构</x:v>
      </x:c>
      <x:c r="M10" s="8" t="str">
        <x:v>多平台解析/下载、直播录制/解析、Web API / 解析服务</x:v>
      </x:c>
    </x:row>
    <x:row r="11" ht="46" customHeight="1">
      <x:c r="A11" s="9" t="n">
        <x:v>10</x:v>
      </x:c>
      <x:c r="B11" s="8" t="str">
        <x:v>nexmoe/VidBee</x:v>
      </x:c>
      <x:c r="C11" s="11" t="n">
        <x:v>10079</x:v>
      </x:c>
      <x:c r="D11" s="13" t="n">
        <x:v>46231.71454861111</x:v>
      </x:c>
      <x:c r="E11" s="9" t="str">
        <x:v>TypeScript</x:v>
      </x:c>
      <x:c r="F11" s="15" t="str">
        <x:v>https://github.com/nexmoe/VidBee</x:v>
      </x:c>
      <x:c r="G11" s="14" t="str">
        <x:v>Download videos from almost any website worldwide</x:v>
      </x:c>
      <x:c r="H11" s="8" t="str">
        <x:v>多平台解析/下载、Web API / 解析服务</x:v>
      </x:c>
      <x:c r="I11" s="9" t="str">
        <x:v>有</x:v>
      </x:c>
      <x:c r="J11" s="9" t="str">
        <x:v>高</x:v>
      </x:c>
      <x:c r="K11" s="9" t="str">
        <x:v>是（参考）</x:v>
      </x:c>
      <x:c r="L11" s="8" t="str">
        <x:v>参考多平台适配架构</x:v>
      </x:c>
      <x:c r="M11" s="8" t="str">
        <x:v>多平台解析/下载、Web API / 解析服务</x:v>
      </x:c>
    </x:row>
    <x:row r="12" ht="46" customHeight="1">
      <x:c r="A12" s="9" t="n">
        <x:v>11</x:v>
      </x:c>
      <x:c r="B12" s="8" t="str">
        <x:v>jiji262/douyin-downloader</x:v>
      </x:c>
      <x:c r="C12" s="11" t="n">
        <x:v>9197</x:v>
      </x:c>
      <x:c r="D12" s="13" t="n">
        <x:v>46237.68021990741</x:v>
      </x:c>
      <x:c r="E12" s="9" t="str">
        <x:v>Python</x:v>
      </x:c>
      <x:c r="F12" s="15" t="str">
        <x:v>https://github.com/jiji262/douyin-downloader</x:v>
      </x:c>
      <x:c r="G12" s="14" t="str">
        <x:v>A practical Douyin downloader for both single-item and profile batch downloads, with progress display, retries, SQLite deduplication, and browser fallback support. 抖音批量下载工具，去水印，支持视频、图集、合集、音乐(原声)。</x:v>
      </x:c>
      <x:c r="H12" s="8" t="str">
        <x:v>多平台解析/下载、短视频/链接去水印、批量/主页下载</x:v>
      </x:c>
      <x:c r="I12" s="9" t="str">
        <x:v>有</x:v>
      </x:c>
      <x:c r="J12" s="9" t="str">
        <x:v>较高</x:v>
      </x:c>
      <x:c r="K12" s="9" t="str">
        <x:v>是（参考）</x:v>
      </x:c>
      <x:c r="L12" s="8" t="str">
        <x:v>参考解析器与去水印链路</x:v>
      </x:c>
      <x:c r="M12" s="8" t="str">
        <x:v>多平台解析/下载、短视频/链接去水印、批量/主页下载、音频/音乐下载、Telegram / Bot 集成</x:v>
      </x:c>
    </x:row>
    <x:row r="13" ht="46" customHeight="1">
      <x:c r="A13" s="9" t="n">
        <x:v>12</x:v>
      </x:c>
      <x:c r="B13" s="8" t="str">
        <x:v>tonhowtf/omniget</x:v>
      </x:c>
      <x:c r="C13" s="11" t="n">
        <x:v>8332</x:v>
      </x:c>
      <x:c r="D13" s="13" t="n">
        <x:v>46234.97111111111</x:v>
      </x:c>
      <x:c r="E13" s="9" t="str">
        <x:v>Rust</x:v>
      </x:c>
      <x:c r="F13" s="15" t="str">
        <x:v>https://github.com/tonhowtf/omniget</x:v>
      </x:c>
      <x:c r="G13" s="14" t="str">
        <x:v>Download Udemy and Hotmart courses, YouTube videos, music and books — 1,800+ sites, no terminal. Free open-source desktop app for Windows, macOS and Linux, with a built-in course player, PDF/EPUB reader and music library. Powered by yt-dlp. Your files stay on your computer.</x:v>
      </x:c>
      <x:c r="H13" s="8" t="str">
        <x:v>多平台解析/下载、桌面 GUI、音频/音乐下载</x:v>
      </x:c>
      <x:c r="I13" s="9" t="str">
        <x:v>部分</x:v>
      </x:c>
      <x:c r="J13" s="9" t="str">
        <x:v>较高</x:v>
      </x:c>
      <x:c r="K13" s="9" t="str">
        <x:v>是（参考）</x:v>
      </x:c>
      <x:c r="L13" s="8" t="str">
        <x:v>参考多平台适配架构</x:v>
      </x:c>
      <x:c r="M13" s="8" t="str">
        <x:v>多平台解析/下载、桌面 GUI、音频/音乐下载、AI 去字幕/去水印、Telegram / Bot 集成、SDK / 封装库</x:v>
      </x:c>
    </x:row>
    <x:row r="14" ht="46" customHeight="1">
      <x:c r="A14" s="9" t="n">
        <x:v>13</x:v>
      </x:c>
      <x:c r="B14" s="8" t="str">
        <x:v>davidteather/TikTok-Api</x:v>
      </x:c>
      <x:c r="C14" s="11" t="n">
        <x:v>6538</x:v>
      </x:c>
      <x:c r="D14" s="13" t="n">
        <x:v>46206.93138888889</x:v>
      </x:c>
      <x:c r="E14" s="9" t="str">
        <x:v>Python</x:v>
      </x:c>
      <x:c r="F14" s="15" t="str">
        <x:v>https://github.com/davidteather/TikTok-Api</x:v>
      </x:c>
      <x:c r="G14" s="14" t="str">
        <x:v>The Unofficial TikTok API Wrapper In Python</x:v>
      </x:c>
      <x:c r="H14" s="8" t="str">
        <x:v>多平台解析/下载、Web API / 解析服务、搜索/账号数据采集</x:v>
      </x:c>
      <x:c r="I14" s="9" t="str">
        <x:v>有</x:v>
      </x:c>
      <x:c r="J14" s="9" t="str">
        <x:v>较高</x:v>
      </x:c>
      <x:c r="K14" s="9" t="str">
        <x:v>是（参考）</x:v>
      </x:c>
      <x:c r="L14" s="8" t="str">
        <x:v>参考多平台适配架构</x:v>
      </x:c>
      <x:c r="M14" s="8" t="str">
        <x:v>多平台解析/下载、Web API / 解析服务、搜索/账号数据采集、SDK / 封装库</x:v>
      </x:c>
    </x:row>
    <x:row r="15" ht="46" customHeight="1">
      <x:c r="A15" s="9" t="n">
        <x:v>14</x:v>
      </x:c>
      <x:c r="B15" s="8" t="str">
        <x:v>biliup/biliup</x:v>
      </x:c>
      <x:c r="C15" s="11" t="n">
        <x:v>5331</x:v>
      </x:c>
      <x:c r="D15" s="13" t="n">
        <x:v>46217.60826388889</x:v>
      </x:c>
      <x:c r="E15" s="9" t="str">
        <x:v>Rust</x:v>
      </x:c>
      <x:c r="F15" s="15" t="str">
        <x:v>https://github.com/biliup/biliup</x:v>
      </x:c>
      <x:c r="G15" s="14" t="str">
        <x:v>自动直播录制、投稿、twitch、ytb频道搬运工具。命令行投稿(B站)和视频下载工具，提供多种登录方式，支持多p。</x:v>
      </x:c>
      <x:c r="H15" s="8" t="str">
        <x:v>多平台解析/下载、直播录制/解析</x:v>
      </x:c>
      <x:c r="I15" s="9" t="str">
        <x:v>部分</x:v>
      </x:c>
      <x:c r="J15" s="9" t="str">
        <x:v>较高</x:v>
      </x:c>
      <x:c r="K15" s="9" t="str">
        <x:v>是（参考）</x:v>
      </x:c>
      <x:c r="L15" s="8" t="str">
        <x:v>参考多平台适配架构</x:v>
      </x:c>
      <x:c r="M15" s="8" t="str">
        <x:v>多平台解析/下载、直播录制/解析</x:v>
      </x:c>
    </x:row>
    <x:row r="16" ht="46" customHeight="1">
      <x:c r="A16" s="9" t="n">
        <x:v>15</x:v>
      </x:c>
      <x:c r="B16" s="8" t="str">
        <x:v>nICEnnnnnnnLee/BilibiliDown</x:v>
      </x:c>
      <x:c r="C16" s="11" t="n">
        <x:v>5179</x:v>
      </x:c>
      <x:c r="D16" s="13" t="n">
        <x:v>46213.23570601852</x:v>
      </x:c>
      <x:c r="E16" s="9" t="str">
        <x:v>Java</x:v>
      </x:c>
      <x:c r="F16" s="15" t="str">
        <x:v>https://github.com/nICEnnnnnnnLee/BilibiliDown</x:v>
      </x:c>
      <x:c r="G16" s="14" t="str">
        <x:v>(GUI-多平台支持) B站 哔哩哔哩 视频下载器。支持稍后再看、收藏夹、UP主视频批量下载|Bilibili Video Downloader 😳</x:v>
      </x:c>
      <x:c r="H16" s="8" t="str">
        <x:v>多平台解析/下载、批量/主页下载、桌面 GUI</x:v>
      </x:c>
      <x:c r="I16" s="9" t="str">
        <x:v>部分</x:v>
      </x:c>
      <x:c r="J16" s="9" t="str">
        <x:v>较高</x:v>
      </x:c>
      <x:c r="K16" s="9" t="str">
        <x:v>是（参考）</x:v>
      </x:c>
      <x:c r="L16" s="8" t="str">
        <x:v>参考多平台适配架构</x:v>
      </x:c>
      <x:c r="M16" s="8" t="str">
        <x:v>多平台解析/下载、批量/主页下载、桌面 GUI、历史/备份/存档</x:v>
      </x:c>
    </x:row>
    <x:row r="17" ht="46" customHeight="1">
      <x:c r="A17" s="9" t="n">
        <x:v>16</x:v>
      </x:c>
      <x:c r="B17" s="8" t="str">
        <x:v>GargantuaX/gemini-watermark-remover</x:v>
      </x:c>
      <x:c r="C17" s="11" t="n">
        <x:v>5158</x:v>
      </x:c>
      <x:c r="D17" s="13" t="n">
        <x:v>46233.446539351855</x:v>
      </x:c>
      <x:c r="E17" s="9" t="str">
        <x:v>JavaScript</x:v>
      </x:c>
      <x:c r="F17" s="15" t="str">
        <x:v>https://github.com/GargantuaX/gemini-watermark-remover</x:v>
      </x:c>
      <x:c r="G17" s="14" t="str">
        <x:v>A high-performance, 100% client-side tool for removing Gemini AI image &amp; video watermarks. Built with pure JavaScript using mathematically precise Reverse Alpha Blending. / 基于 JavaScript 的纯浏览器端 Gemini AI 图像和视频无损去水印工具，使用数学精确的反向 Alpha 混合算法</x:v>
      </x:c>
      <x:c r="H17" s="8" t="str">
        <x:v>短视频/链接去水印、浏览器扩展、AI 去字幕/去水印</x:v>
      </x:c>
      <x:c r="I17" s="9" t="str">
        <x:v>有</x:v>
      </x:c>
      <x:c r="J17" s="9" t="str">
        <x:v>较高</x:v>
      </x:c>
      <x:c r="K17" s="9" t="str">
        <x:v>是（参考）</x:v>
      </x:c>
      <x:c r="L17" s="8" t="str">
        <x:v>参考解析器与去水印链路</x:v>
      </x:c>
      <x:c r="M17" s="8" t="str">
        <x:v>短视频/链接去水印、浏览器扩展、AI 去字幕/去水印</x:v>
      </x:c>
    </x:row>
    <x:row r="18" ht="46" customHeight="1">
      <x:c r="A18" s="9" t="n">
        <x:v>17</x:v>
      </x:c>
      <x:c r="B18" s="8" t="str">
        <x:v>ihmily/StreamCap</x:v>
      </x:c>
      <x:c r="C18" s="11" t="n">
        <x:v>4055</x:v>
      </x:c>
      <x:c r="D18" s="13" t="n">
        <x:v>46235.962175925924</x:v>
      </x:c>
      <x:c r="E18" s="9" t="str">
        <x:v>Python</x:v>
      </x:c>
      <x:c r="F18" s="15" t="str">
        <x:v>https://github.com/ihmily/StreamCap</x:v>
      </x:c>
      <x:c r="G18" s="14" t="str">
        <x:v>Multi-Platform Live Stream Automatic Recording Tool | 多平台直播流自动录制客户端 · 基于FFmpeg · 支持监控/定时/转码</x:v>
      </x:c>
      <x:c r="H18" s="8" t="str">
        <x:v>多平台解析/下载、直播录制/解析、桌面 GUI</x:v>
      </x:c>
      <x:c r="I18" s="9" t="str">
        <x:v>部分</x:v>
      </x:c>
      <x:c r="J18" s="9" t="str">
        <x:v>较高</x:v>
      </x:c>
      <x:c r="K18" s="9" t="str">
        <x:v>是（参考）</x:v>
      </x:c>
      <x:c r="L18" s="8" t="str">
        <x:v>参考多平台适配架构</x:v>
      </x:c>
      <x:c r="M18" s="8" t="str">
        <x:v>多平台解析/下载、直播录制/解析、桌面 GUI、M3U8/HLS/DASH 支持</x:v>
      </x:c>
    </x:row>
    <x:row r="19" ht="46" customHeight="1">
      <x:c r="A19" s="9" t="n">
        <x:v>18</x:v>
      </x:c>
      <x:c r="B19" s="8" t="str">
        <x:v>Johnserf-Seed/f2</x:v>
      </x:c>
      <x:c r="C19" s="11" t="n">
        <x:v>2590</x:v>
      </x:c>
      <x:c r="D19" s="13" t="n">
        <x:v>46125.99818287037</x:v>
      </x:c>
      <x:c r="E19" s="9" t="str">
        <x:v>Python</x:v>
      </x:c>
      <x:c r="F19" s="15" t="str">
        <x:v>https://github.com/Johnserf-Seed/f2</x:v>
      </x:c>
      <x:c r="G19" s="14" t="str">
        <x:v>High-speed downloader for multiple platforms</x:v>
      </x:c>
      <x:c r="H19" s="8" t="str">
        <x:v>多平台解析/下载、Web API / 解析服务</x:v>
      </x:c>
      <x:c r="I19" s="9" t="str">
        <x:v>有</x:v>
      </x:c>
      <x:c r="J19" s="9" t="str">
        <x:v>较高</x:v>
      </x:c>
      <x:c r="K19" s="9" t="str">
        <x:v>是（参考）</x:v>
      </x:c>
      <x:c r="L19" s="8" t="str">
        <x:v>参考多平台适配架构</x:v>
      </x:c>
      <x:c r="M19" s="8" t="str">
        <x:v>多平台解析/下载、Web API / 解析服务</x:v>
      </x:c>
    </x:row>
    <x:row r="20" ht="46" customHeight="1">
      <x:c r="A20" s="9" t="n">
        <x:v>19</x:v>
      </x:c>
      <x:c r="B20" s="8" t="str">
        <x:v>CharlesPikachu/videodl</x:v>
      </x:c>
      <x:c r="C20" s="11" t="n">
        <x:v>2543</x:v>
      </x:c>
      <x:c r="D20" s="13" t="n">
        <x:v>46236.913935185185</x:v>
      </x:c>
      <x:c r="E20" s="9" t="str">
        <x:v>Python</x:v>
      </x:c>
      <x:c r="F20" s="15" t="str">
        <x:v>https://github.com/CharlesPikachu/videodl</x:v>
      </x:c>
      <x:c r="G20" s="14" t="str">
        <x:v>Videodl: A lightweight video downloader written in pure python. (轻量级视频下载器，优先高清无水印，支持抖音，快手，小红书，B站，TikTok，YouTube，FIFA+，优酷，腾讯，爱奇艺，1905电影网，乐视，芒果，咪咕，PPTV，搜狐，Facebook，Twitter，新浪微博，今日头条，网易公开课，全民K歌，CCTV央视频，酷狗音乐MV，新片场，知乎，百度贴吧，TED等海量流媒体平台)</x:v>
      </x:c>
      <x:c r="H20" s="8" t="str">
        <x:v>多平台解析/下载、短视频/链接去水印、直播录制/解析</x:v>
      </x:c>
      <x:c r="I20" s="9" t="str">
        <x:v>有</x:v>
      </x:c>
      <x:c r="J20" s="9" t="str">
        <x:v>较高</x:v>
      </x:c>
      <x:c r="K20" s="9" t="str">
        <x:v>是（参考）</x:v>
      </x:c>
      <x:c r="L20" s="8" t="str">
        <x:v>参考解析器与去水印链路</x:v>
      </x:c>
      <x:c r="M20" s="8" t="str">
        <x:v>多平台解析/下载、短视频/链接去水印、直播录制/解析、Web API / 解析服务、音频/音乐下载、AI 去字幕/去水印</x:v>
      </x:c>
    </x:row>
    <x:row r="21" ht="46" customHeight="1">
      <x:c r="A21" s="9" t="n">
        <x:v>20</x:v>
      </x:c>
      <x:c r="B21" s="8" t="str">
        <x:v>AAndyProgram/SCrawler</x:v>
      </x:c>
      <x:c r="C21" s="11" t="n">
        <x:v>2127</x:v>
      </x:c>
      <x:c r="D21" s="13" t="n">
        <x:v>46174.34175925926</x:v>
      </x:c>
      <x:c r="E21" s="9" t="str">
        <x:v>Visual Basic .NET</x:v>
      </x:c>
      <x:c r="F21" s="15" t="str">
        <x:v>https://github.com/AAndyProgram/SCrawler</x:v>
      </x:c>
      <x:c r="G21" s="14" t="str">
        <x:v>🏳️‍🌈 Media downloader from any sites, including Twitter, Reddit, Instagram, BlueSky, TikTok, Threads, Facebook, OnlyFans, YouTube, Pinterest, PornHub, XHamster, XVIDEOS, ThisVid etc.</x:v>
      </x:c>
      <x:c r="H21" s="8" t="str">
        <x:v>多平台解析/下载</x:v>
      </x:c>
      <x:c r="I21" s="9" t="str">
        <x:v>部分</x:v>
      </x:c>
      <x:c r="J21" s="9" t="str">
        <x:v>较高</x:v>
      </x:c>
      <x:c r="K21" s="9" t="str">
        <x:v>是（参考）</x:v>
      </x:c>
      <x:c r="L21" s="8" t="str">
        <x:v>参考多平台适配架构</x:v>
      </x:c>
      <x:c r="M21" s="8" t="str">
        <x:v>多平台解析/下载</x:v>
      </x:c>
    </x:row>
    <x:row r="22" ht="46" customHeight="1">
      <x:c r="A22" s="9" t="n">
        <x:v>21</x:v>
      </x:c>
      <x:c r="B22" s="8" t="str">
        <x:v>chen-zeong/DTV</x:v>
      </x:c>
      <x:c r="C22" s="11" t="n">
        <x:v>1876</x:v>
      </x:c>
      <x:c r="D22" s="13" t="n">
        <x:v>46218.197280092594</x:v>
      </x:c>
      <x:c r="E22" s="9" t="str">
        <x:v>TypeScript</x:v>
      </x:c>
      <x:c r="F22" s="15" t="str">
        <x:v>https://github.com/chen-zeong/DTV</x:v>
      </x:c>
      <x:c r="G22" s="14" t="str">
        <x:v>抖音、b站、斗鱼、虎牙跨平台轻量化桌面客户端</x:v>
      </x:c>
      <x:c r="H22" s="8" t="str">
        <x:v>多平台解析/下载、直播录制/解析、桌面 GUI</x:v>
      </x:c>
      <x:c r="I22" s="9" t="str">
        <x:v>部分</x:v>
      </x:c>
      <x:c r="J22" s="9" t="str">
        <x:v>中</x:v>
      </x:c>
      <x:c r="K22" s="9" t="str">
        <x:v>是（参考）</x:v>
      </x:c>
      <x:c r="L22" s="8" t="str">
        <x:v>参考多平台适配架构</x:v>
      </x:c>
      <x:c r="M22" s="8" t="str">
        <x:v>多平台解析/下载、直播录制/解析、桌面 GUI</x:v>
      </x:c>
    </x:row>
    <x:row r="23" ht="46" customHeight="1">
      <x:c r="A23" s="9" t="n">
        <x:v>22</x:v>
      </x:c>
      <x:c r="B23" s="8" t="str">
        <x:v>DangJin/awesome-social-media-downloader</x:v>
      </x:c>
      <x:c r="C23" s="11" t="n">
        <x:v>1778</x:v>
      </x:c>
      <x:c r="D23" s="13" t="n">
        <x:v>46202.07135416667</x:v>
      </x:c>
      <x:c r="E23" s="9" t="str"/>
      <x:c r="F23" s="15" t="str">
        <x:v>https://github.com/DangJin/awesome-social-media-downloader</x:v>
      </x:c>
      <x:c r="G23" s="14" t="str">
        <x:v>👿 收录了一些能够免费下载油管、B 站、抖音等平台视频的下载工具。Some download tools that can freely download videos from platforms such as YouTube, Bilibili, Douyin, etc. have been included.</x:v>
      </x:c>
      <x:c r="H23" s="8" t="str">
        <x:v>多平台解析/下载</x:v>
      </x:c>
      <x:c r="I23" s="9" t="str">
        <x:v>部分</x:v>
      </x:c>
      <x:c r="J23" s="9" t="str">
        <x:v>中</x:v>
      </x:c>
      <x:c r="K23" s="9" t="str">
        <x:v>是（参考）</x:v>
      </x:c>
      <x:c r="L23" s="8" t="str">
        <x:v>参考多平台适配架构</x:v>
      </x:c>
      <x:c r="M23" s="8" t="str">
        <x:v>多平台解析/下载</x:v>
      </x:c>
    </x:row>
    <x:row r="24" ht="46" customHeight="1">
      <x:c r="A24" s="9" t="n">
        <x:v>23</x:v>
      </x:c>
      <x:c r="B24" s="8" t="str">
        <x:v>qsniyg/maxurl</x:v>
      </x:c>
      <x:c r="C24" s="11" t="n">
        <x:v>1598</x:v>
      </x:c>
      <x:c r="D24" s="13" t="n">
        <x:v>46236.420949074076</x:v>
      </x:c>
      <x:c r="E24" s="9" t="str">
        <x:v>JavaScript</x:v>
      </x:c>
      <x:c r="F24" s="15" t="str">
        <x:v>https://github.com/qsniyg/maxurl</x:v>
      </x:c>
      <x:c r="G24" s="14" t="str">
        <x:v>Finds larger/original versions of images and videos</x:v>
      </x:c>
      <x:c r="H24" s="8" t="str">
        <x:v>批量/主页下载、浏览器扩展、Web API / 解析服务</x:v>
      </x:c>
      <x:c r="I24" s="9" t="str">
        <x:v>有</x:v>
      </x:c>
      <x:c r="J24" s="9" t="str">
        <x:v>中</x:v>
      </x:c>
      <x:c r="K24" s="9" t="str">
        <x:v>是（参考）</x:v>
      </x:c>
      <x:c r="L24" s="8" t="str">
        <x:v>参考 API/部署设计</x:v>
      </x:c>
      <x:c r="M24" s="8" t="str">
        <x:v>批量/主页下载、浏览器扩展、Web API / 解析服务</x:v>
      </x:c>
    </x:row>
    <x:row r="25" ht="46" customHeight="1">
      <x:c r="A25" s="9" t="n">
        <x:v>24</x:v>
      </x:c>
      <x:c r="B25" s="8" t="str">
        <x:v>erma0/douyin</x:v>
      </x:c>
      <x:c r="C25" s="11" t="n">
        <x:v>1596</x:v>
      </x:c>
      <x:c r="D25" s="13" t="n">
        <x:v>46176.117268518516</x:v>
      </x:c>
      <x:c r="E25" s="9" t="str"/>
      <x:c r="F25" s="15" t="str">
        <x:v>https://github.com/erma0/douyin</x:v>
      </x:c>
      <x:c r="G25" s="14" t="str">
        <x:v>抖音爬虫——采集账号主页、喜欢、收藏、音乐原声、话题、搜索、合集、作品、关注、粉丝等公开数据。</x:v>
      </x:c>
      <x:c r="H25" s="8" t="str">
        <x:v>多平台解析/下载、批量/主页下载、搜索/账号数据采集</x:v>
      </x:c>
      <x:c r="I25" s="9" t="str">
        <x:v>部分</x:v>
      </x:c>
      <x:c r="J25" s="9" t="str">
        <x:v>中</x:v>
      </x:c>
      <x:c r="K25" s="9" t="str">
        <x:v>是（参考）</x:v>
      </x:c>
      <x:c r="L25" s="8" t="str">
        <x:v>参考多平台适配架构</x:v>
      </x:c>
      <x:c r="M25" s="8" t="str">
        <x:v>多平台解析/下载、批量/主页下载、搜索/账号数据采集、音频/音乐下载</x:v>
      </x:c>
    </x:row>
    <x:row r="26" ht="46" customHeight="1">
      <x:c r="A26" s="9" t="n">
        <x:v>25</x:v>
      </x:c>
      <x:c r="B26" s="8" t="str">
        <x:v>D-Ogi/WatermarkRemover-AI</x:v>
      </x:c>
      <x:c r="C26" s="11" t="n">
        <x:v>1564</x:v>
      </x:c>
      <x:c r="D26" s="13" t="n">
        <x:v>46110.86534722222</x:v>
      </x:c>
      <x:c r="E26" s="9" t="str">
        <x:v>HTML</x:v>
      </x:c>
      <x:c r="F26" s="15" t="str">
        <x:v>https://github.com/D-Ogi/WatermarkRemover-AI</x:v>
      </x:c>
      <x:c r="G26" s="14" t="str">
        <x:v>AI-Powered Watermark Remover using Florence-2 and LaMA: Remove watermarks from images and videos, including AI-generated content from Sora, Runway, and others. Features a modern PyWebview GUI.</x:v>
      </x:c>
      <x:c r="H26" s="8" t="str">
        <x:v>短视频/链接去水印、桌面 GUI、Web API / 解析服务</x:v>
      </x:c>
      <x:c r="I26" s="9" t="str">
        <x:v>有</x:v>
      </x:c>
      <x:c r="J26" s="9" t="str">
        <x:v>中</x:v>
      </x:c>
      <x:c r="K26" s="9" t="str">
        <x:v>是（参考）</x:v>
      </x:c>
      <x:c r="L26" s="8" t="str">
        <x:v>参考解析器与去水印链路</x:v>
      </x:c>
      <x:c r="M26" s="8" t="str">
        <x:v>短视频/链接去水印、桌面 GUI、Web API / 解析服务、AI 去字幕/去水印</x:v>
      </x:c>
    </x:row>
    <x:row r="27" ht="46" customHeight="1">
      <x:c r="A27" s="9" t="n">
        <x:v>26</x:v>
      </x:c>
      <x:c r="B27" s="8" t="str">
        <x:v>dsymbol/yt-dlp-gui</x:v>
      </x:c>
      <x:c r="C27" s="11" t="n">
        <x:v>1462</x:v>
      </x:c>
      <x:c r="D27" s="13" t="n">
        <x:v>46083.85596064815</x:v>
      </x:c>
      <x:c r="E27" s="9" t="str">
        <x:v>Python</x:v>
      </x:c>
      <x:c r="F27" s="15" t="str">
        <x:v>https://github.com/dsymbol/yt-dlp-gui</x:v>
      </x:c>
      <x:c r="G27" s="14" t="str">
        <x:v>A cross-platform GUI wrapper for yt-dlp written in PySide6</x:v>
      </x:c>
      <x:c r="H27" s="8" t="str">
        <x:v>多平台解析/下载、桌面 GUI、SDK / 封装库</x:v>
      </x:c>
      <x:c r="I27" s="9" t="str">
        <x:v>部分</x:v>
      </x:c>
      <x:c r="J27" s="9" t="str">
        <x:v>中</x:v>
      </x:c>
      <x:c r="K27" s="9" t="str">
        <x:v>是（参考）</x:v>
      </x:c>
      <x:c r="L27" s="8" t="str">
        <x:v>参考多平台适配架构</x:v>
      </x:c>
      <x:c r="M27" s="8" t="str">
        <x:v>多平台解析/下载、桌面 GUI、SDK / 封装库</x:v>
      </x:c>
    </x:row>
    <x:row r="28" ht="46" customHeight="1">
      <x:c r="A28" s="9" t="n">
        <x:v>27</x:v>
      </x:c>
      <x:c r="B28" s="8" t="str">
        <x:v>vanloctech/youwee</x:v>
      </x:c>
      <x:c r="C28" s="11" t="n">
        <x:v>1376</x:v>
      </x:c>
      <x:c r="D28" s="13" t="n">
        <x:v>46235.67319444445</x:v>
      </x:c>
      <x:c r="E28" s="9" t="str">
        <x:v>TypeScript</x:v>
      </x:c>
      <x:c r="F28" s="15" t="str">
        <x:v>https://github.com/vanloctech/youwee</x:v>
      </x:c>
      <x:c r="G28" s="14" t="str">
        <x:v>A beautiful, cross-platform downloader for YouTube, TikTok, Instagram, and 1800+ sites (yt-dlp GUI) with AI video summaries and post-processing</x:v>
      </x:c>
      <x:c r="H28" s="8" t="str">
        <x:v>多平台解析/下载、桌面 GUI、AI 去字幕/去水印</x:v>
      </x:c>
      <x:c r="I28" s="9" t="str">
        <x:v>部分</x:v>
      </x:c>
      <x:c r="J28" s="9" t="str">
        <x:v>中</x:v>
      </x:c>
      <x:c r="K28" s="9" t="str">
        <x:v>是（参考）</x:v>
      </x:c>
      <x:c r="L28" s="8" t="str">
        <x:v>参考多平台适配架构</x:v>
      </x:c>
      <x:c r="M28" s="8" t="str">
        <x:v>多平台解析/下载、桌面 GUI、AI 去字幕/去水印</x:v>
      </x:c>
    </x:row>
    <x:row r="29" ht="46" customHeight="1">
      <x:c r="A29" s="9" t="n">
        <x:v>28</x:v>
      </x:c>
      <x:c r="B29" s="8" t="str">
        <x:v>yzfly/douyin-mcp-server</x:v>
      </x:c>
      <x:c r="C29" s="11" t="n">
        <x:v>1239</x:v>
      </x:c>
      <x:c r="D29" s="13" t="n">
        <x:v>46205.306550925925</x:v>
      </x:c>
      <x:c r="E29" s="9" t="str">
        <x:v>HTML</x:v>
      </x:c>
      <x:c r="F29" s="15" t="str">
        <x:v>https://github.com/yzfly/douyin-mcp-server</x:v>
      </x:c>
      <x:c r="G29" s="14" t="str">
        <x:v>提取抖音无水印视频链接，视频文案，douyin-mcp-server，mcp，claude skill，支持龙虾</x:v>
      </x:c>
      <x:c r="H29" s="8" t="str">
        <x:v>多平台解析/下载、短视频/链接去水印、Web API / 解析服务</x:v>
      </x:c>
      <x:c r="I29" s="9" t="str">
        <x:v>有</x:v>
      </x:c>
      <x:c r="J29" s="9" t="str">
        <x:v>中</x:v>
      </x:c>
      <x:c r="K29" s="9" t="str">
        <x:v>是（参考）</x:v>
      </x:c>
      <x:c r="L29" s="8" t="str">
        <x:v>参考解析器与去水印链路</x:v>
      </x:c>
      <x:c r="M29" s="8" t="str">
        <x:v>多平台解析/下载、短视频/链接去水印、Web API / 解析服务</x:v>
      </x:c>
    </x:row>
    <x:row r="30" ht="46" customHeight="1">
      <x:c r="A30" s="9" t="n">
        <x:v>29</x:v>
      </x:c>
      <x:c r="B30" s="8" t="str">
        <x:v>cnbattle/douyin</x:v>
      </x:c>
      <x:c r="C30" s="11" t="n">
        <x:v>1216</x:v>
      </x:c>
      <x:c r="D30" s="13" t="n">
        <x:v>46169.41546296296</x:v>
      </x:c>
      <x:c r="E30" s="9" t="str">
        <x:v>Go</x:v>
      </x:c>
      <x:c r="F30" s="15" t="str">
        <x:v>https://github.com/cnbattle/douyin</x:v>
      </x:c>
      <x:c r="G30" s="14" t="str">
        <x:v>抖音推荐/搜索页视频列表视频爬虫方案,基于app(虚拟机或真机) 相关技术 golang adb</x:v>
      </x:c>
      <x:c r="H30" s="8" t="str">
        <x:v>多平台解析/下载、搜索/账号数据采集</x:v>
      </x:c>
      <x:c r="I30" s="9" t="str">
        <x:v>部分</x:v>
      </x:c>
      <x:c r="J30" s="9" t="str">
        <x:v>中</x:v>
      </x:c>
      <x:c r="K30" s="9" t="str">
        <x:v>是（参考）</x:v>
      </x:c>
      <x:c r="L30" s="8" t="str">
        <x:v>参考多平台适配架构</x:v>
      </x:c>
      <x:c r="M30" s="8" t="str">
        <x:v>多平台解析/下载、搜索/账号数据采集</x:v>
      </x:c>
    </x:row>
    <x:row r="31" ht="46" customHeight="1">
      <x:c r="A31" s="9" t="n">
        <x:v>30</x:v>
      </x:c>
      <x:c r="B31" s="8" t="str">
        <x:v>iszhouhua/social-media-copilot</x:v>
      </x:c>
      <x:c r="C31" s="11" t="n">
        <x:v>1191</x:v>
      </x:c>
      <x:c r="D31" s="13" t="n">
        <x:v>46231.548483796294</x:v>
      </x:c>
      <x:c r="E31" s="9" t="str">
        <x:v>TypeScript</x:v>
      </x:c>
      <x:c r="F31" s="15" t="str">
        <x:v>https://github.com/iszhouhua/social-media-copilot</x:v>
      </x:c>
      <x:c r="G31" s="14" t="str">
        <x:v>社媒助手开源版 - 小红书、抖音、快手等平台数据采集的浏览器插件，可通过API调用，支持Docker部署。</x:v>
      </x:c>
      <x:c r="H31" s="8" t="str">
        <x:v>多平台解析/下载、浏览器扩展、Web API / 解析服务</x:v>
      </x:c>
      <x:c r="I31" s="9" t="str">
        <x:v>有</x:v>
      </x:c>
      <x:c r="J31" s="9" t="str">
        <x:v>中</x:v>
      </x:c>
      <x:c r="K31" s="9" t="str">
        <x:v>是（参考）</x:v>
      </x:c>
      <x:c r="L31" s="8" t="str">
        <x:v>参考多平台适配架构</x:v>
      </x:c>
      <x:c r="M31" s="8" t="str">
        <x:v>多平台解析/下载、浏览器扩展、Web API / 解析服务、搜索/账号数据采集</x:v>
      </x:c>
    </x:row>
    <x:row r="32" ht="46" customHeight="1">
      <x:c r="A32" s="9" t="n">
        <x:v>31</x:v>
      </x:c>
      <x:c r="B32" s="8" t="str">
        <x:v>asdfghj1237890/WebVideo2NAS</x:v>
      </x:c>
      <x:c r="C32" s="11" t="n">
        <x:v>1158</x:v>
      </x:c>
      <x:c r="D32" s="13" t="n">
        <x:v>46222.72837962963</x:v>
      </x:c>
      <x:c r="E32" s="9" t="str">
        <x:v>Python</x:v>
      </x:c>
      <x:c r="F32" s="15" t="str">
        <x:v>https://github.com/asdfghj1237890/WebVideo2NAS</x:v>
      </x:c>
      <x:c r="G32" s="14" t="str">
        <x:v>Self-hosted Chrome → NAS pipeline: capture HLS / DASH / MP4 streams from any site and download to your NAS. Single multi-arch Docker image (FastAPI + worker + ffmpeg) distributed via GHCR.</x:v>
      </x:c>
      <x:c r="H32" s="8" t="str">
        <x:v>直播录制/解析、浏览器扩展、Web API / 解析服务</x:v>
      </x:c>
      <x:c r="I32" s="9" t="str">
        <x:v>有</x:v>
      </x:c>
      <x:c r="J32" s="9" t="str">
        <x:v>中</x:v>
      </x:c>
      <x:c r="K32" s="9" t="str">
        <x:v>是（参考）</x:v>
      </x:c>
      <x:c r="L32" s="8" t="str">
        <x:v>参考 API/部署设计</x:v>
      </x:c>
      <x:c r="M32" s="8" t="str">
        <x:v>直播录制/解析、浏览器扩展、Web API / 解析服务、M3U8/HLS/DASH 支持</x:v>
      </x:c>
    </x:row>
    <x:row r="33" ht="46" customHeight="1">
      <x:c r="A33" s="9" t="n">
        <x:v>32</x:v>
      </x:c>
      <x:c r="B33" s="8" t="str">
        <x:v>wujunwei928/parse-video</x:v>
      </x:c>
      <x:c r="C33" s="11" t="n">
        <x:v>996</x:v>
      </x:c>
      <x:c r="D33" s="13" t="n">
        <x:v>46228.20133101852</x:v>
      </x:c>
      <x:c r="E33" s="9" t="str">
        <x:v>Go</x:v>
      </x:c>
      <x:c r="F33" s="15" t="str">
        <x:v>https://github.com/wujunwei928/parse-video</x:v>
      </x:c>
      <x:c r="G33" s="14" t="str">
        <x:v>Golang短视频去水印：抖音,皮皮虾,火山,微视,最右,快手,全民小视频,皮皮搞笑,西瓜视频,虎牙,梨视频,acfun,好看视频...</x:v>
      </x:c>
      <x:c r="H33" s="8" t="str">
        <x:v>多平台解析/下载、短视频/链接去水印、AI 去字幕/去水印</x:v>
      </x:c>
      <x:c r="I33" s="9" t="str">
        <x:v>有</x:v>
      </x:c>
      <x:c r="J33" s="9" t="str">
        <x:v>中</x:v>
      </x:c>
      <x:c r="K33" s="9" t="str">
        <x:v>是（参考）</x:v>
      </x:c>
      <x:c r="L33" s="8" t="str">
        <x:v>参考解析器与去水印链路</x:v>
      </x:c>
      <x:c r="M33" s="8" t="str">
        <x:v>多平台解析/下载、短视频/链接去水印、AI 去字幕/去水印</x:v>
      </x:c>
    </x:row>
    <x:row r="34" ht="46" customHeight="1">
      <x:c r="A34" s="9" t="n">
        <x:v>33</x:v>
      </x:c>
      <x:c r="B34" s="8" t="str">
        <x:v>WhiteMinds/LiveAutoRecord</x:v>
      </x:c>
      <x:c r="C34" s="11" t="n">
        <x:v>988</x:v>
      </x:c>
      <x:c r="D34" s="13" t="n">
        <x:v>46156.96681712963</x:v>
      </x:c>
      <x:c r="E34" s="9" t="str">
        <x:v>TypeScript</x:v>
      </x:c>
      <x:c r="F34" s="15" t="str">
        <x:v>https://github.com/WhiteMinds/LiveAutoRecord</x:v>
      </x:c>
      <x:c r="G34" s="14" t="str">
        <x:v>基于 Electron 的多平台直播自动录制软件</x:v>
      </x:c>
      <x:c r="H34" s="8" t="str">
        <x:v>多平台解析/下载、直播录制/解析、桌面 GUI</x:v>
      </x:c>
      <x:c r="I34" s="9" t="str">
        <x:v>部分</x:v>
      </x:c>
      <x:c r="J34" s="9" t="str">
        <x:v>中</x:v>
      </x:c>
      <x:c r="K34" s="9" t="str">
        <x:v>是（参考）</x:v>
      </x:c>
      <x:c r="L34" s="8" t="str">
        <x:v>参考多平台适配架构</x:v>
      </x:c>
      <x:c r="M34" s="8" t="str">
        <x:v>多平台解析/下载、直播录制/解析、桌面 GUI</x:v>
      </x:c>
    </x:row>
    <x:row r="35" ht="46" customHeight="1">
      <x:c r="A35" s="9" t="n">
        <x:v>34</x:v>
      </x:c>
      <x:c r="B35" s="8" t="str">
        <x:v>Michele0303/tiktok-live-recorder</x:v>
      </x:c>
      <x:c r="C35" s="11" t="n">
        <x:v>861</x:v>
      </x:c>
      <x:c r="D35" s="13" t="n">
        <x:v>46218.731261574074</x:v>
      </x:c>
      <x:c r="E35" s="9" t="str">
        <x:v>Python</x:v>
      </x:c>
      <x:c r="F35" s="15" t="str">
        <x:v>https://github.com/Michele0303/tiktok-live-recorder</x:v>
      </x:c>
      <x:c r="G35" s="14" t="str">
        <x:v>🎥✨ A TikTok live streaming recorder tool written in Python. Capture and relive your favorite TikTok moments effortlessly. 🎥✨</x:v>
      </x:c>
      <x:c r="H35" s="8" t="str">
        <x:v>多平台解析/下载、直播录制/解析、Web API / 解析服务</x:v>
      </x:c>
      <x:c r="I35" s="9" t="str">
        <x:v>有</x:v>
      </x:c>
      <x:c r="J35" s="9" t="str">
        <x:v>中</x:v>
      </x:c>
      <x:c r="K35" s="9" t="str">
        <x:v>是（参考）</x:v>
      </x:c>
      <x:c r="L35" s="8" t="str">
        <x:v>参考多平台适配架构</x:v>
      </x:c>
      <x:c r="M35" s="8" t="str">
        <x:v>多平台解析/下载、直播录制/解析、Web API / 解析服务、Telegram / Bot 集成</x:v>
      </x:c>
    </x:row>
    <x:row r="36" ht="46" customHeight="1">
      <x:c r="A36" s="9" t="n">
        <x:v>35</x:v>
      </x:c>
      <x:c r="B36" s="8" t="str">
        <x:v>alexch33/super-video-downloader</x:v>
      </x:c>
      <x:c r="C36" s="11" t="n">
        <x:v>854</x:v>
      </x:c>
      <x:c r="D36" s="13" t="n">
        <x:v>46237.60842592592</x:v>
      </x:c>
      <x:c r="E36" s="9" t="str">
        <x:v>Kotlin</x:v>
      </x:c>
      <x:c r="F36" s="15" t="str">
        <x:v>https://github.com/alexch33/super-video-downloader</x:v>
      </x:c>
      <x:c r="G36" s="14" t="str">
        <x:v>Video &amp; Audio downloader for Android with web browser and player. M3U8 and MPD supported, live stream supported, using youtube-dlp and custom mp4/mp3/m3u8/mpd downloader, cookies supported, HTTP &amp; SOCKS proxy chains supported, encrypted DNS, Adblocker with lists managenment</x:v>
      </x:c>
      <x:c r="H36" s="8" t="str">
        <x:v>多平台解析/下载、直播录制/解析、Web API / 解析服务</x:v>
      </x:c>
      <x:c r="I36" s="9" t="str">
        <x:v>有</x:v>
      </x:c>
      <x:c r="J36" s="9" t="str">
        <x:v>中</x:v>
      </x:c>
      <x:c r="K36" s="9" t="str">
        <x:v>是（参考）</x:v>
      </x:c>
      <x:c r="L36" s="8" t="str">
        <x:v>参考多平台适配架构</x:v>
      </x:c>
      <x:c r="M36" s="8" t="str">
        <x:v>多平台解析/下载、直播录制/解析、Web API / 解析服务、音频/音乐下载、AI 去字幕/去水印、M3U8/HLS/DASH 支持、移动端 App</x:v>
      </x:c>
    </x:row>
    <x:row r="37" ht="46" customHeight="1">
      <x:c r="A37" s="9" t="n">
        <x:v>36</x:v>
      </x:c>
      <x:c r="B37" s="8" t="str">
        <x:v>setvisible/ArrowDL</x:v>
      </x:c>
      <x:c r="C37" s="11" t="n">
        <x:v>841</x:v>
      </x:c>
      <x:c r="D37" s="13" t="n">
        <x:v>46146.64662037037</x:v>
      </x:c>
      <x:c r="E37" s="9" t="str">
        <x:v>C++</x:v>
      </x:c>
      <x:c r="F37" s="15" t="str">
        <x:v>https://github.com/setvisible/ArrowDL</x:v>
      </x:c>
      <x:c r="G37" s="14" t="str">
        <x:v>ArrowDL (Arrow Downloader) is a download manager for Windows, MacOS and Linux</x:v>
      </x:c>
      <x:c r="H37" s="8" t="str">
        <x:v>多平台解析/下载、批量/主页下载、直播录制/解析</x:v>
      </x:c>
      <x:c r="I37" s="9" t="str">
        <x:v>有</x:v>
      </x:c>
      <x:c r="J37" s="9" t="str">
        <x:v>中</x:v>
      </x:c>
      <x:c r="K37" s="9" t="str">
        <x:v>是（参考）</x:v>
      </x:c>
      <x:c r="L37" s="8" t="str">
        <x:v>参考多平台适配架构</x:v>
      </x:c>
      <x:c r="M37" s="8" t="str">
        <x:v>多平台解析/下载、批量/主页下载、直播录制/解析、浏览器扩展、Web API / 解析服务</x:v>
      </x:c>
    </x:row>
    <x:row r="38" ht="46" customHeight="1">
      <x:c r="A38" s="9" t="n">
        <x:v>37</x:v>
      </x:c>
      <x:c r="B38" s="8" t="str">
        <x:v>TikHub/TikHub-API-Python-SDK</x:v>
      </x:c>
      <x:c r="C38" s="11" t="n">
        <x:v>837</x:v>
      </x:c>
      <x:c r="D38" s="13" t="n">
        <x:v>46178.26526620371</x:v>
      </x:c>
      <x:c r="E38" s="9" t="str">
        <x:v>Python</x:v>
      </x:c>
      <x:c r="F38" s="15" t="str">
        <x:v>https://github.com/TikHub/TikHub-API-Python-SDK</x:v>
      </x:c>
      <x:c r="G38" s="14" t="str">
        <x:v>High-performance asynchronous Douyin(抖音) TikTok Xiaohongshu(小红书) Kuaishou(快手) Weibo(微博) Instagram YouTube(油管) Twitter(X) Captcha Solver(验证码解决器) Temp Mail(临时邮箱) API(接口).</x:v>
      </x:c>
      <x:c r="H38" s="8" t="str">
        <x:v>多平台解析/下载、Web API / 解析服务、音频/音乐下载</x:v>
      </x:c>
      <x:c r="I38" s="9" t="str">
        <x:v>有</x:v>
      </x:c>
      <x:c r="J38" s="9" t="str">
        <x:v>中</x:v>
      </x:c>
      <x:c r="K38" s="9" t="str">
        <x:v>是（参考）</x:v>
      </x:c>
      <x:c r="L38" s="8" t="str">
        <x:v>参考多平台适配架构</x:v>
      </x:c>
      <x:c r="M38" s="8" t="str">
        <x:v>多平台解析/下载、Web API / 解析服务、音频/音乐下载、AI 去字幕/去水印、SDK / 封装库</x:v>
      </x:c>
    </x:row>
    <x:row r="39" ht="46" customHeight="1">
      <x:c r="A39" s="9" t="n">
        <x:v>38</x:v>
      </x:c>
      <x:c r="B39" s="8" t="str">
        <x:v>webLiang/Pornhub-Video-Downloader-Plugin-v3</x:v>
      </x:c>
      <x:c r="C39" s="11" t="n">
        <x:v>765</x:v>
      </x:c>
      <x:c r="D39" s="13" t="n">
        <x:v>46231.290925925925</x:v>
      </x:c>
      <x:c r="E39" s="9" t="str">
        <x:v>TypeScript</x:v>
      </x:c>
      <x:c r="F39" s="15" t="str">
        <x:v>https://github.com/webLiang/Pornhub-Video-Downloader-Plugin-v3</x:v>
      </x:c>
      <x:c r="G39" s="14" t="str">
        <x:v>pornhub视频下载插件 chrome extention v3,pornhub video download, support xvideos, xhamaster and more.</x:v>
      </x:c>
      <x:c r="H39" s="8" t="str">
        <x:v>多平台解析/下载、浏览器扩展、Web API / 解析服务</x:v>
      </x:c>
      <x:c r="I39" s="9" t="str">
        <x:v>有</x:v>
      </x:c>
      <x:c r="J39" s="9" t="str">
        <x:v>中</x:v>
      </x:c>
      <x:c r="K39" s="9" t="str">
        <x:v>是（参考）</x:v>
      </x:c>
      <x:c r="L39" s="8" t="str">
        <x:v>参考多平台适配架构</x:v>
      </x:c>
      <x:c r="M39" s="8" t="str">
        <x:v>多平台解析/下载、浏览器扩展、Web API / 解析服务</x:v>
      </x:c>
    </x:row>
    <x:row r="40" ht="46" customHeight="1">
      <x:c r="A40" s="9" t="n">
        <x:v>39</x:v>
      </x:c>
      <x:c r="B40" s="8" t="str">
        <x:v>jayjd/HuYaTv</x:v>
      </x:c>
      <x:c r="C40" s="11" t="n">
        <x:v>734</x:v>
      </x:c>
      <x:c r="D40" s="13" t="n">
        <x:v>46204.53449074074</x:v>
      </x:c>
      <x:c r="E40" s="9" t="str"/>
      <x:c r="F40" s="15" t="str">
        <x:v>https://github.com/jayjd/HuYaTv</x:v>
      </x:c>
      <x:c r="G40" s="14" t="str">
        <x:v>聚合直播（FUSE）,支持虎牙/抖音/快手/哔哩哔哩/斗鱼/YY/网易CC/电视直播，支持手机/平板/电视/车机</x:v>
      </x:c>
      <x:c r="H40" s="8" t="str">
        <x:v>多平台解析/下载、直播录制/解析、AI 去字幕/去水印</x:v>
      </x:c>
      <x:c r="I40" s="9" t="str">
        <x:v>部分</x:v>
      </x:c>
      <x:c r="J40" s="9" t="str">
        <x:v>中</x:v>
      </x:c>
      <x:c r="K40" s="9" t="str">
        <x:v>是（参考）</x:v>
      </x:c>
      <x:c r="L40" s="8" t="str">
        <x:v>参考多平台适配架构</x:v>
      </x:c>
      <x:c r="M40" s="8" t="str">
        <x:v>多平台解析/下载、直播录制/解析、AI 去字幕/去水印、移动端 App</x:v>
      </x:c>
    </x:row>
    <x:row r="41" ht="46" customHeight="1">
      <x:c r="A41" s="9" t="n">
        <x:v>40</x:v>
      </x:c>
      <x:c r="B41" s="8" t="str">
        <x:v>ellermister/mybili</x:v>
      </x:c>
      <x:c r="C41" s="11" t="n">
        <x:v>685</x:v>
      </x:c>
      <x:c r="D41" s="13" t="n">
        <x:v>46233.87168981481</x:v>
      </x:c>
      <x:c r="E41" s="9" t="str">
        <x:v>PHP</x:v>
      </x:c>
      <x:c r="F41" s="15" t="str">
        <x:v>https://github.com/ellermister/mybili</x:v>
      </x:c>
      <x:c r="G41" s="14" t="str">
        <x:v>哔哩哔哩收藏夹备份程序 ~ アレ 视频不见了哟！</x:v>
      </x:c>
      <x:c r="H41" s="8" t="str">
        <x:v>多平台解析/下载、批量/主页下载、历史/备份/存档</x:v>
      </x:c>
      <x:c r="I41" s="9" t="str">
        <x:v>部分</x:v>
      </x:c>
      <x:c r="J41" s="9" t="str">
        <x:v>中</x:v>
      </x:c>
      <x:c r="K41" s="9" t="str">
        <x:v>是（参考）</x:v>
      </x:c>
      <x:c r="L41" s="8" t="str">
        <x:v>参考多平台适配架构</x:v>
      </x:c>
      <x:c r="M41" s="8" t="str">
        <x:v>多平台解析/下载、批量/主页下载、历史/备份/存档</x:v>
      </x:c>
    </x:row>
    <x:row r="42" ht="46" customHeight="1">
      <x:c r="A42" s="9" t="n">
        <x:v>41</x:v>
      </x:c>
      <x:c r="B42" s="8" t="str">
        <x:v>wujunwei928/parse-video-py</x:v>
      </x:c>
      <x:c r="C42" s="11" t="n">
        <x:v>671</x:v>
      </x:c>
      <x:c r="D42" s="13" t="n">
        <x:v>46228.015601851854</x:v>
      </x:c>
      <x:c r="E42" s="9" t="str">
        <x:v>Python</x:v>
      </x:c>
      <x:c r="F42" s="15" t="str">
        <x:v>https://github.com/wujunwei928/parse-video-py</x:v>
      </x:c>
      <x:c r="G42" s="14" t="str">
        <x:v>Python短视频去水印爬虫：抖音,皮皮虾,火山,微视,最右,快手,全民小视频,皮皮搞笑,西瓜视频,虎牙,梨视频,acfun,好看视频...</x:v>
      </x:c>
      <x:c r="H42" s="8" t="str">
        <x:v>多平台解析/下载、短视频/链接去水印、搜索/账号数据采集</x:v>
      </x:c>
      <x:c r="I42" s="9" t="str">
        <x:v>有</x:v>
      </x:c>
      <x:c r="J42" s="9" t="str">
        <x:v>中</x:v>
      </x:c>
      <x:c r="K42" s="9" t="str">
        <x:v>是（参考）</x:v>
      </x:c>
      <x:c r="L42" s="8" t="str">
        <x:v>参考解析器与去水印链路</x:v>
      </x:c>
      <x:c r="M42" s="8" t="str">
        <x:v>多平台解析/下载、短视频/链接去水印、搜索/账号数据采集</x:v>
      </x:c>
    </x:row>
    <x:row r="43" ht="46" customHeight="1">
      <x:c r="A43" s="9" t="n">
        <x:v>42</x:v>
      </x:c>
      <x:c r="B43" s="8" t="str">
        <x:v>liuchuancong/pure_live_TV</x:v>
      </x:c>
      <x:c r="C43" s="11" t="n">
        <x:v>628</x:v>
      </x:c>
      <x:c r="D43" s="13" t="n">
        <x:v>46210.05417824074</x:v>
      </x:c>
      <x:c r="E43" s="9" t="str">
        <x:v>Dart</x:v>
      </x:c>
      <x:c r="F43" s="15" t="str">
        <x:v>https://github.com/liuchuancong/pure_live_TV</x:v>
      </x:c>
      <x:c r="G43" s="14" t="str">
        <x:v>纯粹直播:哔哩哔哩/虎牙/斗鱼/快手/抖音/网易cc/M38自定义源应有尽有。</x:v>
      </x:c>
      <x:c r="H43" s="8" t="str">
        <x:v>多平台解析/下载、直播录制/解析、AI 去字幕/去水印</x:v>
      </x:c>
      <x:c r="I43" s="9" t="str">
        <x:v>部分</x:v>
      </x:c>
      <x:c r="J43" s="9" t="str">
        <x:v>中</x:v>
      </x:c>
      <x:c r="K43" s="9" t="str">
        <x:v>是（参考）</x:v>
      </x:c>
      <x:c r="L43" s="8" t="str">
        <x:v>参考多平台适配架构</x:v>
      </x:c>
      <x:c r="M43" s="8" t="str">
        <x:v>多平台解析/下载、直播录制/解析、AI 去字幕/去水印</x:v>
      </x:c>
    </x:row>
    <x:row r="44" ht="46" customHeight="1">
      <x:c r="A44" s="9" t="n">
        <x:v>43</x:v>
      </x:c>
      <x:c r="B44" s="8" t="str">
        <x:v>jiuhunwl/short_videos</x:v>
      </x:c>
      <x:c r="C44" s="11" t="n">
        <x:v>619</x:v>
      </x:c>
      <x:c r="D44" s="13" t="n">
        <x:v>46230.391875</x:v>
      </x:c>
      <x:c r="E44" s="9" t="str">
        <x:v>PHP</x:v>
      </x:c>
      <x:c r="F44" s="15" t="str">
        <x:v>https://github.com/jiuhunwl/short_videos</x:v>
      </x:c>
      <x:c r="G44" s="14" t="str">
        <x:v>支持平台:网易云，抖音，快手，小红书，汽水音乐，微博，bilibili，皮皮虾，皮皮搞笑等，支持短视频图集去水印</x:v>
      </x:c>
      <x:c r="H44" s="8" t="str">
        <x:v>多平台解析/下载、短视频/链接去水印、音频/音乐下载</x:v>
      </x:c>
      <x:c r="I44" s="9" t="str">
        <x:v>有</x:v>
      </x:c>
      <x:c r="J44" s="9" t="str">
        <x:v>中</x:v>
      </x:c>
      <x:c r="K44" s="9" t="str">
        <x:v>是（参考）</x:v>
      </x:c>
      <x:c r="L44" s="8" t="str">
        <x:v>参考解析器与去水印链路</x:v>
      </x:c>
      <x:c r="M44" s="8" t="str">
        <x:v>多平台解析/下载、短视频/链接去水印、音频/音乐下载</x:v>
      </x:c>
    </x:row>
    <x:row r="45" ht="46" customHeight="1">
      <x:c r="A45" s="9" t="n">
        <x:v>44</x:v>
      </x:c>
      <x:c r="B45" s="8" t="str">
        <x:v>arnoldhao/xiadown</x:v>
      </x:c>
      <x:c r="C45" s="11" t="n">
        <x:v>606</x:v>
      </x:c>
      <x:c r="D45" s="13" t="n">
        <x:v>46230.37590277778</x:v>
      </x:c>
      <x:c r="E45" s="9" t="str">
        <x:v>Go</x:v>
      </x:c>
      <x:c r="F45" s="15" t="str">
        <x:v>https://github.com/arnoldhao/xiadown</x:v>
      </x:c>
      <x:c r="G45" s="14" t="str">
        <x:v>🐣一款支持视频下载的资源库管理应用    A media library manager with video download support</x:v>
      </x:c>
      <x:c r="H45" s="8" t="str">
        <x:v>多平台解析/下载、音频/音乐下载、AI 去字幕/去水印</x:v>
      </x:c>
      <x:c r="I45" s="9" t="str">
        <x:v>部分</x:v>
      </x:c>
      <x:c r="J45" s="9" t="str">
        <x:v>中</x:v>
      </x:c>
      <x:c r="K45" s="9" t="str">
        <x:v>是（参考）</x:v>
      </x:c>
      <x:c r="L45" s="8" t="str">
        <x:v>参考多平台适配架构</x:v>
      </x:c>
      <x:c r="M45" s="8" t="str">
        <x:v>多平台解析/下载、音频/音乐下载、AI 去字幕/去水印、SDK / 封装库</x:v>
      </x:c>
    </x:row>
    <x:row r="46" ht="46" customHeight="1">
      <x:c r="A46" s="9" t="n">
        <x:v>45</x:v>
      </x:c>
      <x:c r="B46" s="8" t="str">
        <x:v>testusyd/douyin_downloader</x:v>
      </x:c>
      <x:c r="C46" s="11" t="n">
        <x:v>605</x:v>
      </x:c>
      <x:c r="D46" s="13" t="n">
        <x:v>46089.64865740741</x:v>
      </x:c>
      <x:c r="E46" s="9" t="str"/>
      <x:c r="F46" s="15" t="str">
        <x:v>https://github.com/testusyd/douyin_downloader</x:v>
      </x:c>
      <x:c r="G46" s="14" t="str">
        <x:v> 抖音福袋扭蛋机，抖音抢福袋工具，自己工作之余用VC++写的，功能还包含了一些其他小功能，抖音无水印视频下载器，抖音直播间录制下载器，抖音批量取消关注取关器</x:v>
      </x:c>
      <x:c r="H46" s="8" t="str">
        <x:v>多平台解析/下载、短视频/链接去水印、批量/主页下载</x:v>
      </x:c>
      <x:c r="I46" s="9" t="str">
        <x:v>有</x:v>
      </x:c>
      <x:c r="J46" s="9" t="str">
        <x:v>中</x:v>
      </x:c>
      <x:c r="K46" s="9" t="str">
        <x:v>是（参考）</x:v>
      </x:c>
      <x:c r="L46" s="8" t="str">
        <x:v>参考解析器与去水印链路</x:v>
      </x:c>
      <x:c r="M46" s="8" t="str">
        <x:v>多平台解析/下载、短视频/链接去水印、批量/主页下载、直播录制/解析</x:v>
      </x:c>
    </x:row>
    <x:row r="47" ht="46" customHeight="1">
      <x:c r="A47" s="9" t="n">
        <x:v>46</x:v>
      </x:c>
      <x:c r="B47" s="8" t="str">
        <x:v>Jane-xiaoer/xiaoer-videolab</x:v>
      </x:c>
      <x:c r="C47" s="11" t="n">
        <x:v>584</x:v>
      </x:c>
      <x:c r="D47" s="13" t="n">
        <x:v>46180.09033564815</x:v>
      </x:c>
      <x:c r="E47" s="9" t="str">
        <x:v>JavaScript</x:v>
      </x:c>
      <x:c r="F47" s="15" t="str">
        <x:v>https://github.com/Jane-xiaoer/xiaoer-videolab</x:v>
      </x:c>
      <x:c r="G47" s="14" t="str">
        <x:v>One click on the toolbar grabs the current page's video into ~/Downloads — local yt-dlp daemon, 1800+ sites. 小耳抓视频：一键把当前页视频抓到本地。</x:v>
      </x:c>
      <x:c r="H47" s="8" t="str">
        <x:v>多平台解析/下载、浏览器扩展</x:v>
      </x:c>
      <x:c r="I47" s="9" t="str">
        <x:v>部分</x:v>
      </x:c>
      <x:c r="J47" s="9" t="str">
        <x:v>中</x:v>
      </x:c>
      <x:c r="K47" s="9" t="str">
        <x:v>是（参考）</x:v>
      </x:c>
      <x:c r="L47" s="8" t="str">
        <x:v>参考多平台适配架构</x:v>
      </x:c>
      <x:c r="M47" s="8" t="str">
        <x:v>多平台解析/下载、浏览器扩展</x:v>
      </x:c>
    </x:row>
    <x:row r="48" ht="46" customHeight="1">
      <x:c r="A48" s="9" t="n">
        <x:v>47</x:v>
      </x:c>
      <x:c r="B48" s="8" t="str">
        <x:v>ta867070117/video-analyse</x:v>
      </x:c>
      <x:c r="C48" s="11" t="n">
        <x:v>584</x:v>
      </x:c>
      <x:c r="D48" s="13" t="n">
        <x:v>46233.99576388889</x:v>
      </x:c>
      <x:c r="E48" s="9" t="str"/>
      <x:c r="F48" s="15" t="str">
        <x:v>https://github.com/ta867070117/video-analyse</x:v>
      </x:c>
      <x:c r="G48" s="14" t="str">
        <x:v>短视频解析平台支持解析 抖音、快手、ins、faceBook、youtobe、西瓜视频、今日头条、小红书、微视、火山小视频、陌陌视频、映客视频、小咖秀、开眼、全民小视频、全民K歌、最右、小影、微博、美拍、皮皮虾等平台的短视频去水印解析API接口</x:v>
      </x:c>
      <x:c r="H48" s="8" t="str">
        <x:v>多平台解析/下载、短视频/链接去水印、Web API / 解析服务</x:v>
      </x:c>
      <x:c r="I48" s="9" t="str">
        <x:v>有</x:v>
      </x:c>
      <x:c r="J48" s="9" t="str">
        <x:v>中</x:v>
      </x:c>
      <x:c r="K48" s="9" t="str">
        <x:v>是（参考）</x:v>
      </x:c>
      <x:c r="L48" s="8" t="str">
        <x:v>参考解析器与去水印链路</x:v>
      </x:c>
      <x:c r="M48" s="8" t="str">
        <x:v>多平台解析/下载、短视频/链接去水印、Web API / 解析服务</x:v>
      </x:c>
    </x:row>
    <x:row r="49" ht="46" customHeight="1">
      <x:c r="A49" s="9" t="n">
        <x:v>48</x:v>
      </x:c>
      <x:c r="B49" s="8" t="str">
        <x:v>thisal-d/pytube-downloader</x:v>
      </x:c>
      <x:c r="C49" s="11" t="n">
        <x:v>570</x:v>
      </x:c>
      <x:c r="D49" s="13" t="n">
        <x:v>46231.63825231481</x:v>
      </x:c>
      <x:c r="E49" s="9" t="str">
        <x:v>Python</x:v>
      </x:c>
      <x:c r="F49" s="15" t="str">
        <x:v>https://github.com/thisal-d/pytube-downloader</x:v>
      </x:c>
      <x:c r="G49" s="14" t="str">
        <x:v>Simple. Fast. Powerful YouTube Downloader.</x:v>
      </x:c>
      <x:c r="H49" s="8" t="str">
        <x:v>多平台解析/下载、批量/主页下载、直播录制/解析</x:v>
      </x:c>
      <x:c r="I49" s="9" t="str">
        <x:v>部分</x:v>
      </x:c>
      <x:c r="J49" s="9" t="str">
        <x:v>中</x:v>
      </x:c>
      <x:c r="K49" s="9" t="str">
        <x:v>是（参考）</x:v>
      </x:c>
      <x:c r="L49" s="8" t="str">
        <x:v>参考多平台适配架构</x:v>
      </x:c>
      <x:c r="M49" s="8" t="str">
        <x:v>多平台解析/下载、批量/主页下载、直播录制/解析、桌面 GUI、AI 去字幕/去水印</x:v>
      </x:c>
    </x:row>
    <x:row r="50" ht="46" customHeight="1">
      <x:c r="A50" s="9" t="n">
        <x:v>49</x:v>
      </x:c>
      <x:c r="B50" s="8" t="str">
        <x:v>stevenjoezhang/bilibili-downloader</x:v>
      </x:c>
      <x:c r="C50" s="11" t="n">
        <x:v>565</x:v>
      </x:c>
      <x:c r="D50" s="13" t="n">
        <x:v>46224.99320601852</x:v>
      </x:c>
      <x:c r="E50" s="9" t="str">
        <x:v>TypeScript</x:v>
      </x:c>
      <x:c r="F50" s="15" t="str">
        <x:v>https://github.com/stevenjoezhang/bilibili-downloader</x:v>
      </x:c>
      <x:c r="G50" s="14" t="str">
        <x:v>哔哩哔哩视频下载器 | Yet another video downloader for Bilibili</x:v>
      </x:c>
      <x:c r="H50" s="8" t="str">
        <x:v>多平台解析/下载、桌面 GUI</x:v>
      </x:c>
      <x:c r="I50" s="9" t="str">
        <x:v>部分</x:v>
      </x:c>
      <x:c r="J50" s="9" t="str">
        <x:v>中</x:v>
      </x:c>
      <x:c r="K50" s="9" t="str">
        <x:v>是（参考）</x:v>
      </x:c>
      <x:c r="L50" s="8" t="str">
        <x:v>参考多平台适配架构</x:v>
      </x:c>
      <x:c r="M50" s="8" t="str">
        <x:v>多平台解析/下载、桌面 GUI</x:v>
      </x:c>
    </x:row>
    <x:row r="51" ht="46" customHeight="1">
      <x:c r="A51" s="9" t="n">
        <x:v>50</x:v>
      </x:c>
      <x:c r="B51" s="8" t="str">
        <x:v>PyJun/Mooc_Downloader</x:v>
      </x:c>
      <x:c r="C51" s="11" t="n">
        <x:v>548</x:v>
      </x:c>
      <x:c r="D51" s="13" t="n">
        <x:v>46232.9109375</x:v>
      </x:c>
      <x:c r="E51" s="9" t="str">
        <x:v>Python</x:v>
      </x:c>
      <x:c r="F51" s="15" t="str">
        <x:v>https://github.com/PyJun/Mooc_Downloader</x:v>
      </x:c>
      <x:c r="G51" s="14" t="str">
        <x:v>学无止下载器，慕课下载器，Mooc网课下载，中国大学慕课，网易云课堂，有道精品课，有道领世，启航教育，腾讯课堂，腾讯会议，钉钉，飞书，B站课堂，中公网校，荔枝微课，海豚知道，伯索云，爱问云，家辉云，百家云，希望学，希望学素养，希望优课，高途，途途，高途高中规划，高途素养，研途，学浪，抖音课堂，千聊，兴趣岛，橙啦，超星学习通，学银在线，智慧职教，职教云，知到智慧树，网易公开课，学堂在线，爱课程，华尔街学堂，ClassIn；支持视频课件同时下载</x:v>
      </x:c>
      <x:c r="H51" s="8" t="str">
        <x:v>多平台解析/下载</x:v>
      </x:c>
      <x:c r="I51" s="9" t="str">
        <x:v>部分</x:v>
      </x:c>
      <x:c r="J51" s="9" t="str">
        <x:v>中</x:v>
      </x:c>
      <x:c r="K51" s="9" t="str">
        <x:v>是（参考）</x:v>
      </x:c>
      <x:c r="L51" s="8" t="str">
        <x:v>参考多平台适配架构</x:v>
      </x:c>
      <x:c r="M51" s="8" t="str">
        <x:v>多平台解析/下载</x:v>
      </x:c>
    </x:row>
    <x:row r="52" ht="46" customHeight="1">
      <x:c r="A52" s="9" t="n">
        <x:v>51</x:v>
      </x:c>
      <x:c r="B52" s="8" t="str">
        <x:v>Useful-Scripts-Extension/useful-script</x:v>
      </x:c>
      <x:c r="C52" s="11" t="n">
        <x:v>499</x:v>
      </x:c>
      <x:c r="D52" s="13" t="n">
        <x:v>46217.328518518516</x:v>
      </x:c>
      <x:c r="E52" s="9" t="str">
        <x:v>JavaScript</x:v>
      </x:c>
      <x:c r="F52" s="15" t="str">
        <x:v>https://github.com/Useful-Scripts-Extension/useful-script</x:v>
      </x:c>
      <x:c r="G52" s="14" t="str">
        <x:v>Chrome extension that provides a lot of useful scripts</x:v>
      </x:c>
      <x:c r="H52" s="8" t="str">
        <x:v>多平台解析/下载、浏览器扩展、Web API / 解析服务</x:v>
      </x:c>
      <x:c r="I52" s="9" t="str">
        <x:v>有</x:v>
      </x:c>
      <x:c r="J52" s="9" t="str">
        <x:v>一般</x:v>
      </x:c>
      <x:c r="K52" s="9" t="str">
        <x:v>是（参考）</x:v>
      </x:c>
      <x:c r="L52" s="8" t="str">
        <x:v>参考多平台适配架构</x:v>
      </x:c>
      <x:c r="M52" s="8" t="str">
        <x:v>多平台解析/下载、浏览器扩展、Web API / 解析服务</x:v>
      </x:c>
    </x:row>
    <x:row r="53" ht="46" customHeight="1">
      <x:c r="A53" s="9" t="n">
        <x:v>52</x:v>
      </x:c>
      <x:c r="B53" s="8" t="str">
        <x:v>scx567888/live-room-watcher</x:v>
      </x:c>
      <x:c r="C53" s="11" t="n">
        <x:v>489</x:v>
      </x:c>
      <x:c r="D53" s="13" t="n">
        <x:v>46237.028958333336</x:v>
      </x:c>
      <x:c r="E53" s="9" t="str">
        <x:v>Java</x:v>
      </x:c>
      <x:c r="F53" s="15" t="str">
        <x:v>https://github.com/scx567888/live-room-watcher</x:v>
      </x:c>
      <x:c r="G53" s="14" t="str">
        <x:v>📺 可抓取直播间 弹幕, 礼物, 点赞, 原始流地址等</x:v>
      </x:c>
      <x:c r="H53" s="8" t="str">
        <x:v>多平台解析/下载、直播录制/解析、Web API / 解析服务</x:v>
      </x:c>
      <x:c r="I53" s="9" t="str">
        <x:v>有</x:v>
      </x:c>
      <x:c r="J53" s="9" t="str">
        <x:v>一般</x:v>
      </x:c>
      <x:c r="K53" s="9" t="str">
        <x:v>是（参考）</x:v>
      </x:c>
      <x:c r="L53" s="8" t="str">
        <x:v>参考多平台适配架构</x:v>
      </x:c>
      <x:c r="M53" s="8" t="str">
        <x:v>多平台解析/下载、直播录制/解析、Web API / 解析服务、AI 去字幕/去水印</x:v>
      </x:c>
    </x:row>
    <x:row r="54" ht="46" customHeight="1">
      <x:c r="A54" s="9" t="n">
        <x:v>53</x:v>
      </x:c>
      <x:c r="B54" s="8" t="str">
        <x:v>neosubhamoy/neodlp</x:v>
      </x:c>
      <x:c r="C54" s="11" t="n">
        <x:v>468</x:v>
      </x:c>
      <x:c r="D54" s="13" t="n">
        <x:v>46229.682708333334</x:v>
      </x:c>
      <x:c r="E54" s="9" t="str">
        <x:v>TypeScript</x:v>
      </x:c>
      <x:c r="F54" s="15" t="str">
        <x:v>https://github.com/neosubhamoy/neodlp</x:v>
      </x:c>
      <x:c r="G54" s="14" t="str">
        <x:v>Modern Video/Audio Downloader based on YT-DLP with Browser Integration (🦭 Seal for Desktop)</x:v>
      </x:c>
      <x:c r="H54" s="8" t="str">
        <x:v>多平台解析/下载、桌面 GUI、音频/音乐下载</x:v>
      </x:c>
      <x:c r="I54" s="9" t="str">
        <x:v>部分</x:v>
      </x:c>
      <x:c r="J54" s="9" t="str">
        <x:v>一般</x:v>
      </x:c>
      <x:c r="K54" s="9" t="str">
        <x:v>是（参考）</x:v>
      </x:c>
      <x:c r="L54" s="8" t="str">
        <x:v>参考多平台适配架构</x:v>
      </x:c>
      <x:c r="M54" s="8" t="str">
        <x:v>多平台解析/下载、桌面 GUI、音频/音乐下载</x:v>
      </x:c>
    </x:row>
    <x:row r="55" ht="46" customHeight="1">
      <x:c r="A55" s="9" t="n">
        <x:v>54</x:v>
      </x:c>
      <x:c r="B55" s="8" t="str">
        <x:v>Efeckc17/YoutubeGO</x:v>
      </x:c>
      <x:c r="C55" s="11" t="n">
        <x:v>440</x:v>
      </x:c>
      <x:c r="D55" s="13" t="n">
        <x:v>46229.664351851854</x:v>
      </x:c>
      <x:c r="E55" s="9" t="str">
        <x:v>Python</x:v>
      </x:c>
      <x:c r="F55" s="15" t="str">
        <x:v>https://github.com/Efeckc17/YoutubeGO</x:v>
      </x:c>
      <x:c r="G55" s="14" t="str">
        <x:v>YouTubeGO is a high-performance video/audio downloader supporting major platforms like YouTube, Vimeo, Odysee, TikTok, SoundCloud, and Twitter. With MP3/MP4 support, smart queueing, batch tools, scheduling, and a modern  UI, YouTubeGO delivers a fast, secure and seamless downloading experience.</x:v>
      </x:c>
      <x:c r="H55" s="8" t="str">
        <x:v>多平台解析/下载、批量/主页下载、直播录制/解析</x:v>
      </x:c>
      <x:c r="I55" s="9" t="str">
        <x:v>部分</x:v>
      </x:c>
      <x:c r="J55" s="9" t="str">
        <x:v>一般</x:v>
      </x:c>
      <x:c r="K55" s="9" t="str">
        <x:v>是（参考）</x:v>
      </x:c>
      <x:c r="L55" s="8" t="str">
        <x:v>参考多平台适配架构</x:v>
      </x:c>
      <x:c r="M55" s="8" t="str">
        <x:v>多平台解析/下载、批量/主页下载、直播录制/解析、桌面 GUI、音频/音乐下载</x:v>
      </x:c>
    </x:row>
    <x:row r="56" ht="46" customHeight="1">
      <x:c r="A56" s="9" t="n">
        <x:v>55</x:v>
      </x:c>
      <x:c r="B56" s="8" t="str">
        <x:v>serpapps/skool-downloader</x:v>
      </x:c>
      <x:c r="C56" s="11" t="n">
        <x:v>390</x:v>
      </x:c>
      <x:c r="D56" s="13" t="n">
        <x:v>46211.51351851852</x:v>
      </x:c>
      <x:c r="E56" s="9" t="str">
        <x:v>JavaScript</x:v>
      </x:c>
      <x:c r="F56" s="15" t="str">
        <x:v>https://github.com/serpapps/skool-downloader</x:v>
      </x:c>
      <x:c r="G56" s="14" t="str">
        <x:v>Download videos from your skool.com classroom and backup your hard work.</x:v>
      </x:c>
      <x:c r="H56" s="8" t="str">
        <x:v>批量/主页下载、浏览器扩展、历史/备份/存档</x:v>
      </x:c>
      <x:c r="I56" s="9" t="str">
        <x:v>部分</x:v>
      </x:c>
      <x:c r="J56" s="9" t="str">
        <x:v>一般</x:v>
      </x:c>
      <x:c r="K56" s="9" t="str">
        <x:v>是（参考）</x:v>
      </x:c>
      <x:c r="L56" s="8" t="str">
        <x:v>参考批量/主页下载架构</x:v>
      </x:c>
      <x:c r="M56" s="8" t="str">
        <x:v>批量/主页下载、浏览器扩展、历史/备份/存档</x:v>
      </x:c>
    </x:row>
    <x:row r="57" ht="46" customHeight="1">
      <x:c r="A57" s="9" t="n">
        <x:v>56</x:v>
      </x:c>
      <x:c r="B57" s="8" t="str">
        <x:v>TufayelLUS/TikTok-Video-Downloader-PHP</x:v>
      </x:c>
      <x:c r="C57" s="11" t="n">
        <x:v>341</x:v>
      </x:c>
      <x:c r="D57" s="13" t="n">
        <x:v>46212.52787037037</x:v>
      </x:c>
      <x:c r="E57" s="9" t="str">
        <x:v>PHP</x:v>
      </x:c>
      <x:c r="F57" s="15" t="str">
        <x:v>https://github.com/TufayelLUS/TikTok-Video-Downloader-PHP</x:v>
      </x:c>
      <x:c r="G57" s="14" t="str">
        <x:v>A simple but effective one page TikTok video downloader(watermark free) script developed by Tufayel</x:v>
      </x:c>
      <x:c r="H57" s="8" t="str">
        <x:v>多平台解析/下载、短视频/链接去水印</x:v>
      </x:c>
      <x:c r="I57" s="9" t="str">
        <x:v>有</x:v>
      </x:c>
      <x:c r="J57" s="9" t="str">
        <x:v>一般</x:v>
      </x:c>
      <x:c r="K57" s="9" t="str">
        <x:v>是（参考）</x:v>
      </x:c>
      <x:c r="L57" s="8" t="str">
        <x:v>参考解析器与去水印链路</x:v>
      </x:c>
      <x:c r="M57" s="8" t="str">
        <x:v>多平台解析/下载、短视频/链接去水印</x:v>
      </x:c>
    </x:row>
    <x:row r="58" ht="46" customHeight="1">
      <x:c r="A58" s="9" t="n">
        <x:v>57</x:v>
      </x:c>
      <x:c r="B58" s="8" t="str">
        <x:v>fudiwei/DotNetCore.SKIT.FlurlHttpClient.ByteDance</x:v>
      </x:c>
      <x:c r="C58" s="11" t="n">
        <x:v>312</x:v>
      </x:c>
      <x:c r="D58" s="13" t="n">
        <x:v>46155.36912037037</x:v>
      </x:c>
      <x:c r="E58" s="9" t="str">
        <x:v>C#</x:v>
      </x:c>
      <x:c r="F58" s="15" t="str">
        <x:v>https://github.com/fudiwei/DotNetCore.SKIT.FlurlHttpClient.ByteDance</x:v>
      </x:c>
      <x:c r="G58" s="14" t="str">
        <x:v>可能是全网唯一的 C# 版字节跳动 SDK，封装全部已知的字节跳动 OpenAPI，包含字节小程序开放平台、抖音开放平台、抖店开放平台、巨量引擎开放平台、TikTok Developer API、TikTok Shop Open Platform 等模块，可跨平台，持续随官方更新。欢迎 Star/Fork/PR。QQ 交流群 875580418【满】、930461548【满】、611974621。</x:v>
      </x:c>
      <x:c r="H58" s="8" t="str">
        <x:v>多平台解析/下载、直播录制/解析、Web API / 解析服务</x:v>
      </x:c>
      <x:c r="I58" s="9" t="str">
        <x:v>有</x:v>
      </x:c>
      <x:c r="J58" s="9" t="str">
        <x:v>一般</x:v>
      </x:c>
      <x:c r="K58" s="9" t="str">
        <x:v>是（参考）</x:v>
      </x:c>
      <x:c r="L58" s="8" t="str">
        <x:v>参考多平台适配架构</x:v>
      </x:c>
      <x:c r="M58" s="8" t="str">
        <x:v>多平台解析/下载、直播录制/解析、Web API / 解析服务、SDK / 封装库</x:v>
      </x:c>
    </x:row>
    <x:row r="59" ht="46" customHeight="1">
      <x:c r="A59" s="9" t="n">
        <x:v>58</x:v>
      </x:c>
      <x:c r="B59" s="8" t="str">
        <x:v>xgetter-team/xgetter</x:v>
      </x:c>
      <x:c r="C59" s="11" t="n">
        <x:v>297</x:v>
      </x:c>
      <x:c r="D59" s="13" t="n">
        <x:v>46221.59725694444</x:v>
      </x:c>
      <x:c r="E59" s="9" t="str"/>
      <x:c r="F59" s="15" t="str">
        <x:v>https://github.com/xgetter-team/xgetter</x:v>
      </x:c>
      <x:c r="G59" s="14" t="str">
        <x:v>Download video on Youtube, Facebook, X(Twitter), Instagram, Tiktok, Bilibili, Douyin, Youku, QQ, VK, Ok,...</x:v>
      </x:c>
      <x:c r="H59" s="8" t="str">
        <x:v>多平台解析/下载、桌面 GUI</x:v>
      </x:c>
      <x:c r="I59" s="9" t="str">
        <x:v>部分</x:v>
      </x:c>
      <x:c r="J59" s="9" t="str">
        <x:v>一般</x:v>
      </x:c>
      <x:c r="K59" s="9" t="str">
        <x:v>是（小样本参考）</x:v>
      </x:c>
      <x:c r="L59" s="8" t="str">
        <x:v>参考多平台适配架构</x:v>
      </x:c>
      <x:c r="M59" s="8" t="str">
        <x:v>多平台解析/下载、桌面 GUI</x:v>
      </x:c>
    </x:row>
    <x:row r="60" ht="46" customHeight="1">
      <x:c r="A60" s="9" t="n">
        <x:v>59</x:v>
      </x:c>
      <x:c r="B60" s="8" t="str">
        <x:v>cwjcw/xhs_douyin_content</x:v>
      </x:c>
      <x:c r="C60" s="11" t="n">
        <x:v>295</x:v>
      </x:c>
      <x:c r="D60" s="13" t="n">
        <x:v>46088.356469907405</x:v>
      </x:c>
      <x:c r="E60" s="9" t="str">
        <x:v>Python</x:v>
      </x:c>
      <x:c r="F60" s="15" t="str">
        <x:v>https://github.com/cwjcw/xhs_douyin_content</x:v>
      </x:c>
      <x:c r="G60" s="14" t="str">
        <x:v>自动抓取抖音和小红书创作者中心里的每条笔记/视频的播放，完播，点击，播放时长，点赞，分享，评论，收藏，主页访问，粉丝增量等互动数据</x:v>
      </x:c>
      <x:c r="H60" s="8" t="str">
        <x:v>多平台解析/下载、批量/主页下载、搜索/账号数据采集</x:v>
      </x:c>
      <x:c r="I60" s="9" t="str">
        <x:v>部分</x:v>
      </x:c>
      <x:c r="J60" s="9" t="str">
        <x:v>一般</x:v>
      </x:c>
      <x:c r="K60" s="9" t="str">
        <x:v>是（小样本参考）</x:v>
      </x:c>
      <x:c r="L60" s="8" t="str">
        <x:v>参考多平台适配架构</x:v>
      </x:c>
      <x:c r="M60" s="8" t="str">
        <x:v>多平台解析/下载、批量/主页下载、搜索/账号数据采集</x:v>
      </x:c>
    </x:row>
    <x:row r="61" ht="46" customHeight="1">
      <x:c r="A61" s="9" t="n">
        <x:v>60</x:v>
      </x:c>
      <x:c r="B61" s="8" t="str">
        <x:v>SakuraForgot/FluentYTDL</x:v>
      </x:c>
      <x:c r="C61" s="11" t="n">
        <x:v>288</x:v>
      </x:c>
      <x:c r="D61" s="13" t="n">
        <x:v>46236.411458333336</x:v>
      </x:c>
      <x:c r="E61" s="9" t="str">
        <x:v>Python</x:v>
      </x:c>
      <x:c r="F61" s="15" t="str">
        <x:v>https://github.com/SakuraForgot/FluentYTDL</x:v>
      </x:c>
      <x:c r="G61" s="14" t="str">
        <x:v>A Windows desktop downloader for YouTube and X, built with PySide6, yt-dlp, and FFmpeg.</x:v>
      </x:c>
      <x:c r="H61" s="8" t="str">
        <x:v>多平台解析/下载、桌面 GUI</x:v>
      </x:c>
      <x:c r="I61" s="9" t="str">
        <x:v>部分</x:v>
      </x:c>
      <x:c r="J61" s="9" t="str">
        <x:v>一般</x:v>
      </x:c>
      <x:c r="K61" s="9" t="str">
        <x:v>是（小样本参考）</x:v>
      </x:c>
      <x:c r="L61" s="8" t="str">
        <x:v>参考多平台适配架构</x:v>
      </x:c>
      <x:c r="M61" s="8" t="str">
        <x:v>多平台解析/下载、桌面 GUI</x:v>
      </x:c>
    </x:row>
    <x:row r="62" ht="46" customHeight="1">
      <x:c r="A62" s="9" t="n">
        <x:v>61</x:v>
      </x:c>
      <x:c r="B62" s="8" t="str">
        <x:v>antonio-orionus/Arroxy</x:v>
      </x:c>
      <x:c r="C62" s="11" t="n">
        <x:v>275</x:v>
      </x:c>
      <x:c r="D62" s="13" t="n">
        <x:v>46237.63061342593</x:v>
      </x:c>
      <x:c r="E62" s="9" t="str">
        <x:v>TypeScript</x:v>
      </x:c>
      <x:c r="F62" s="15" t="str">
        <x:v>https://github.com/antonio-orionus/Arroxy</x:v>
      </x:c>
      <x:c r="G62" s="14" t="str">
        <x:v>Free open-source YouTube and +2000 sites downloader GUI based on yt-dlp for Windows, macOS, and Linux. Download videos, Shorts, 4K, 1080p60, HDR, playlists, channels, and subtitles with no ads, tracking, cookies, or login. Supports 23 languages.</x:v>
      </x:c>
      <x:c r="H62" s="8" t="str">
        <x:v>多平台解析/下载、桌面 GUI、音频/音乐下载</x:v>
      </x:c>
      <x:c r="I62" s="9" t="str">
        <x:v>部分</x:v>
      </x:c>
      <x:c r="J62" s="9" t="str">
        <x:v>一般</x:v>
      </x:c>
      <x:c r="K62" s="9" t="str">
        <x:v>是（小样本参考）</x:v>
      </x:c>
      <x:c r="L62" s="8" t="str">
        <x:v>参考多平台适配架构</x:v>
      </x:c>
      <x:c r="M62" s="8" t="str">
        <x:v>多平台解析/下载、桌面 GUI、音频/音乐下载、AI 去字幕/去水印</x:v>
      </x:c>
    </x:row>
    <x:row r="63" ht="46" customHeight="1">
      <x:c r="A63" s="9" t="n">
        <x:v>62</x:v>
      </x:c>
      <x:c r="B63" s="8" t="str">
        <x:v>MSC72m/media_downloader</x:v>
      </x:c>
      <x:c r="C63" s="11" t="n">
        <x:v>274</x:v>
      </x:c>
      <x:c r="D63" s="13" t="n">
        <x:v>46227.93054398148</x:v>
      </x:c>
      <x:c r="E63" s="9" t="str">
        <x:v>Python</x:v>
      </x:c>
      <x:c r="F63" s="15" t="str">
        <x:v>https://github.com/MSC72m/media_downloader</x:v>
      </x:c>
      <x:c r="G63" s="14" t="str">
        <x:v>Save any video or song from YouTube, Spotify, TikTok, Instagram, Twitter, Pinterest, SoundCloud and RadioJavan. Works on Windows, Mac and Linux.</x:v>
      </x:c>
      <x:c r="H63" s="8" t="str">
        <x:v>多平台解析/下载、桌面 GUI、音频/音乐下载</x:v>
      </x:c>
      <x:c r="I63" s="9" t="str">
        <x:v>部分</x:v>
      </x:c>
      <x:c r="J63" s="9" t="str">
        <x:v>一般</x:v>
      </x:c>
      <x:c r="K63" s="9" t="str">
        <x:v>是（小样本参考）</x:v>
      </x:c>
      <x:c r="L63" s="8" t="str">
        <x:v>参考多平台适配架构</x:v>
      </x:c>
      <x:c r="M63" s="8" t="str">
        <x:v>多平台解析/下载、桌面 GUI、音频/音乐下载</x:v>
      </x:c>
    </x:row>
    <x:row r="64" ht="46" customHeight="1">
      <x:c r="A64" s="9" t="n">
        <x:v>63</x:v>
      </x:c>
      <x:c r="B64" s="8" t="str">
        <x:v>Alos21750/JableTV-MissAV-Downloader-GUI-2026</x:v>
      </x:c>
      <x:c r="C64" s="11" t="n">
        <x:v>269</x:v>
      </x:c>
      <x:c r="D64" s="13" t="n">
        <x:v>46237.246412037035</x:v>
      </x:c>
      <x:c r="E64" s="9" t="str">
        <x:v>Python</x:v>
      </x:c>
      <x:c r="F64" s="15" t="str">
        <x:v>https://github.com/Alos21750/JableTV-MissAV-Downloader-GUI-2026</x:v>
      </x:c>
      <x:c r="G64" s="14" t="str">
        <x:v>JableTV, MissAV &amp; SupJav GUI downloader for Windows — browse, batch download, monitor categories, and create AI subtitles (日本語 / English / 繁體中文). Japanese speech is transcribed locally with whisper.cpp; video/audio stay on your PC.</x:v>
      </x:c>
      <x:c r="H64" s="8" t="str">
        <x:v>批量/主页下载、直播录制/解析、桌面 GUI</x:v>
      </x:c>
      <x:c r="I64" s="9" t="str">
        <x:v>有</x:v>
      </x:c>
      <x:c r="J64" s="9" t="str">
        <x:v>一般</x:v>
      </x:c>
      <x:c r="K64" s="9" t="str">
        <x:v>是（小样本参考）</x:v>
      </x:c>
      <x:c r="L64" s="8" t="str">
        <x:v>参考 API/部署设计</x:v>
      </x:c>
      <x:c r="M64" s="8" t="str">
        <x:v>批量/主页下载、直播录制/解析、桌面 GUI、Web API / 解析服务、搜索/账号数据采集、音频/音乐下载、AI 去字幕/去水印、M3U8/HLS/DASH 支持</x:v>
      </x:c>
    </x:row>
    <x:row r="65" ht="46" customHeight="1">
      <x:c r="A65" s="9" t="n">
        <x:v>64</x:v>
      </x:c>
      <x:c r="B65" s="8" t="str">
        <x:v>cvv-cat/Douyin_Spider</x:v>
      </x:c>
      <x:c r="C65" s="11" t="n">
        <x:v>268</x:v>
      </x:c>
      <x:c r="D65" s="13" t="n">
        <x:v>46191.85501157407</x:v>
      </x:c>
      <x:c r="E65" s="9" t="str">
        <x:v>JavaScript</x:v>
      </x:c>
      <x:c r="F65" s="15" t="str">
        <x:v>https://github.com/cvv-cat/Douyin_Spider</x:v>
      </x:c>
      <x:c r="G65" s="14" t="str">
        <x:v>抖音逆向，抖音爬虫，抖音全部api、直播间监听</x:v>
      </x:c>
      <x:c r="H65" s="8" t="str">
        <x:v>多平台解析/下载、直播录制/解析、Web API / 解析服务</x:v>
      </x:c>
      <x:c r="I65" s="9" t="str">
        <x:v>有</x:v>
      </x:c>
      <x:c r="J65" s="9" t="str">
        <x:v>一般</x:v>
      </x:c>
      <x:c r="K65" s="9" t="str">
        <x:v>是（小样本参考）</x:v>
      </x:c>
      <x:c r="L65" s="8" t="str">
        <x:v>参考多平台适配架构</x:v>
      </x:c>
      <x:c r="M65" s="8" t="str">
        <x:v>多平台解析/下载、直播录制/解析、Web API / 解析服务、搜索/账号数据采集</x:v>
      </x:c>
    </x:row>
    <x:row r="66" ht="46" customHeight="1">
      <x:c r="A66" s="9" t="n">
        <x:v>65</x:v>
      </x:c>
      <x:c r="B66" s="8" t="str">
        <x:v>DoctorLai/VideoDownloadHelper</x:v>
      </x:c>
      <x:c r="C66" s="11" t="n">
        <x:v>250</x:v>
      </x:c>
      <x:c r="D66" s="13" t="n">
        <x:v>46228.306967592594</x:v>
      </x:c>
      <x:c r="E66" s="9" t="str">
        <x:v>HTML</x:v>
      </x:c>
      <x:c r="F66" s="15" t="str">
        <x:v>https://github.com/DoctorLai/VideoDownloadHelper</x:v>
      </x:c>
      <x:c r="G66" s="14" t="str">
        <x:v>Chrome Extension to Help Download Video for Some Video Sites.</x:v>
      </x:c>
      <x:c r="H66" s="8" t="str">
        <x:v>浏览器扩展、AI 去字幕/去水印</x:v>
      </x:c>
      <x:c r="I66" s="9" t="str">
        <x:v>否</x:v>
      </x:c>
      <x:c r="J66" s="9" t="str">
        <x:v>一般</x:v>
      </x:c>
      <x:c r="K66" s="9" t="str">
        <x:v>否（仅功能对照）</x:v>
      </x:c>
      <x:c r="L66" s="8" t="str">
        <x:v>参考浏览器插件结构</x:v>
      </x:c>
      <x:c r="M66" s="8" t="str">
        <x:v>浏览器扩展、AI 去字幕/去水印</x:v>
      </x:c>
    </x:row>
    <x:row r="67" ht="46" customHeight="1">
      <x:c r="A67" s="9" t="n">
        <x:v>66</x:v>
      </x:c>
      <x:c r="B67" s="8" t="str">
        <x:v>ihmily/streamget</x:v>
      </x:c>
      <x:c r="C67" s="11" t="n">
        <x:v>248</x:v>
      </x:c>
      <x:c r="D67" s="13" t="n">
        <x:v>46235.23837962963</x:v>
      </x:c>
      <x:c r="E67" s="9" t="str">
        <x:v>Python</x:v>
      </x:c>
      <x:c r="F67" s="15" t="str">
        <x:v>https://github.com/ihmily/streamget</x:v>
      </x:c>
      <x:c r="G67" s="14" t="str">
        <x:v>⚡ StreamGet -  A Multi-Platform Live Stream Parser Library for Python</x:v>
      </x:c>
      <x:c r="H67" s="8" t="str">
        <x:v>多平台解析/下载、直播录制/解析、SDK / 封装库</x:v>
      </x:c>
      <x:c r="I67" s="9" t="str">
        <x:v>部分</x:v>
      </x:c>
      <x:c r="J67" s="9" t="str">
        <x:v>一般</x:v>
      </x:c>
      <x:c r="K67" s="9" t="str">
        <x:v>是（小样本参考）</x:v>
      </x:c>
      <x:c r="L67" s="8" t="str">
        <x:v>参考多平台适配架构</x:v>
      </x:c>
      <x:c r="M67" s="8" t="str">
        <x:v>多平台解析/下载、直播录制/解析、SDK / 封装库</x:v>
      </x:c>
    </x:row>
    <x:row r="68" ht="46" customHeight="1">
      <x:c r="A68" s="9" t="n">
        <x:v>67</x:v>
      </x:c>
      <x:c r="B68" s="8" t="str">
        <x:v>TobyG74/tiktok-api-dl</x:v>
      </x:c>
      <x:c r="C68" s="11" t="n">
        <x:v>234</x:v>
      </x:c>
      <x:c r="D68" s="13" t="n">
        <x:v>46140.625868055555</x:v>
      </x:c>
      <x:c r="E68" s="9" t="str">
        <x:v>JavaScript</x:v>
      </x:c>
      <x:c r="F68" s="15" t="str">
        <x:v>https://github.com/TobyG74/tiktok-api-dl</x:v>
      </x:c>
      <x:c r="G68" s="14" t="str">
        <x:v>Wrapper for download Video, Image, Music from Tiktok</x:v>
      </x:c>
      <x:c r="H68" s="8" t="str">
        <x:v>多平台解析/下载、Web API / 解析服务、搜索/账号数据采集</x:v>
      </x:c>
      <x:c r="I68" s="9" t="str">
        <x:v>有</x:v>
      </x:c>
      <x:c r="J68" s="9" t="str">
        <x:v>一般</x:v>
      </x:c>
      <x:c r="K68" s="9" t="str">
        <x:v>是（小样本参考）</x:v>
      </x:c>
      <x:c r="L68" s="8" t="str">
        <x:v>参考多平台适配架构</x:v>
      </x:c>
      <x:c r="M68" s="8" t="str">
        <x:v>多平台解析/下载、Web API / 解析服务、搜索/账号数据采集、音频/音乐下载、SDK / 封装库</x:v>
      </x:c>
    </x:row>
    <x:row r="69" ht="46" customHeight="1">
      <x:c r="A69" s="9" t="n">
        <x:v>68</x:v>
      </x:c>
      <x:c r="B69" s="8" t="str">
        <x:v>allenk/VeoWatermarkRemover</x:v>
      </x:c>
      <x:c r="C69" s="11" t="n">
        <x:v>233</x:v>
      </x:c>
      <x:c r="D69" s="13" t="n">
        <x:v>46192.0125</x:v>
      </x:c>
      <x:c r="E69" s="9" t="str"/>
      <x:c r="F69" s="15" t="str">
        <x:v>https://github.com/allenk/VeoWatermarkRemover</x:v>
      </x:c>
      <x:c r="G69" s="14" t="str">
        <x:v>Remove Google Gemini 3.5 / Veo video watermarks with mathematically precise reverse alpha blending. Standalone Windows CLI — demo/preview build.</x:v>
      </x:c>
      <x:c r="H69" s="8" t="str">
        <x:v>短视频/链接去水印、桌面 GUI、AI 去字幕/去水印</x:v>
      </x:c>
      <x:c r="I69" s="9" t="str">
        <x:v>有</x:v>
      </x:c>
      <x:c r="J69" s="9" t="str">
        <x:v>一般</x:v>
      </x:c>
      <x:c r="K69" s="9" t="str">
        <x:v>是（小样本参考）</x:v>
      </x:c>
      <x:c r="L69" s="8" t="str">
        <x:v>参考解析器与去水印链路</x:v>
      </x:c>
      <x:c r="M69" s="8" t="str">
        <x:v>短视频/链接去水印、桌面 GUI、AI 去字幕/去水印</x:v>
      </x:c>
    </x:row>
    <x:row r="70" ht="46" customHeight="1">
      <x:c r="A70" s="9" t="n">
        <x:v>69</x:v>
      </x:c>
      <x:c r="B70" s="8" t="str">
        <x:v>dearabhin/gemini-watermark-remover</x:v>
      </x:c>
      <x:c r="C70" s="11" t="n">
        <x:v>230</x:v>
      </x:c>
      <x:c r="D70" s="13" t="n">
        <x:v>46221.20043981481</x:v>
      </x:c>
      <x:c r="E70" s="9" t="str">
        <x:v>HTML</x:v>
      </x:c>
      <x:c r="F70" s="15" t="str">
        <x:v>https://github.com/dearabhin/gemini-watermark-remover</x:v>
      </x:c>
      <x:c r="G70" s="14" t="str">
        <x:v>A high-performance, 100% client-side tool for removing the visible Google Gemini ✦ AI sparkle watermark from both AI images and Veo videos. Built with Vue 3 + Vite + Tailwind CSS, it uses a mathematically precise Reverse Alpha Blending algorithm to restore pixels with zero quality loss.</x:v>
      </x:c>
      <x:c r="H70" s="8" t="str">
        <x:v>短视频/链接去水印、AI 去字幕/去水印、Telegram / Bot 集成</x:v>
      </x:c>
      <x:c r="I70" s="9" t="str">
        <x:v>有</x:v>
      </x:c>
      <x:c r="J70" s="9" t="str">
        <x:v>一般</x:v>
      </x:c>
      <x:c r="K70" s="9" t="str">
        <x:v>是（小样本参考）</x:v>
      </x:c>
      <x:c r="L70" s="8" t="str">
        <x:v>参考解析器与去水印链路</x:v>
      </x:c>
      <x:c r="M70" s="8" t="str">
        <x:v>短视频/链接去水印、AI 去字幕/去水印、Telegram / Bot 集成</x:v>
      </x:c>
    </x:row>
    <x:row r="71" ht="46" customHeight="1">
      <x:c r="A71" s="9" t="n">
        <x:v>70</x:v>
      </x:c>
      <x:c r="B71" s="8" t="str">
        <x:v>iqbal-rashed/ytdlp-nodejs</x:v>
      </x:c>
      <x:c r="C71" s="11" t="n">
        <x:v>227</x:v>
      </x:c>
      <x:c r="D71" s="13" t="n">
        <x:v>46232.38891203704</x:v>
      </x:c>
      <x:c r="E71" s="9" t="str">
        <x:v>TypeScript</x:v>
      </x:c>
      <x:c r="F71" s="15" t="str">
        <x:v>https://github.com/iqbal-rashed/ytdlp-nodejs</x:v>
      </x:c>
      <x:c r="G71" s="14" t="str">
        <x:v>A Node.js library for download videos and getting video streams and thumbnails with strong TypeScript support.</x:v>
      </x:c>
      <x:c r="H71" s="8" t="str">
        <x:v>多平台解析/下载、直播录制/解析、AI 去字幕/去水印</x:v>
      </x:c>
      <x:c r="I71" s="9" t="str">
        <x:v>部分</x:v>
      </x:c>
      <x:c r="J71" s="9" t="str">
        <x:v>一般</x:v>
      </x:c>
      <x:c r="K71" s="9" t="str">
        <x:v>是（小样本参考）</x:v>
      </x:c>
      <x:c r="L71" s="8" t="str">
        <x:v>参考多平台适配架构</x:v>
      </x:c>
      <x:c r="M71" s="8" t="str">
        <x:v>多平台解析/下载、直播录制/解析、AI 去字幕/去水印、SDK / 封装库</x:v>
      </x:c>
    </x:row>
    <x:row r="72" ht="46" customHeight="1">
      <x:c r="A72" s="9" t="n">
        <x:v>71</x:v>
      </x:c>
      <x:c r="B72" s="8" t="str">
        <x:v>bytedream/stream-bypass</x:v>
      </x:c>
      <x:c r="C72" s="11" t="n">
        <x:v>226</x:v>
      </x:c>
      <x:c r="D72" s="13" t="n">
        <x:v>46213.61357638889</x:v>
      </x:c>
      <x:c r="E72" s="9" t="str">
        <x:v>Svelte</x:v>
      </x:c>
      <x:c r="F72" s="15" t="str">
        <x:v>https://github.com/bytedream/stream-bypass</x:v>
      </x:c>
      <x:c r="G72" s="14" t="str">
        <x:v>🌍 A multi-browser addon / extension for multiple streaming providers which redirects directly to the source video</x:v>
      </x:c>
      <x:c r="H72" s="8" t="str">
        <x:v>直播录制/解析、浏览器扩展</x:v>
      </x:c>
      <x:c r="I72" s="9" t="str">
        <x:v>否</x:v>
      </x:c>
      <x:c r="J72" s="9" t="str">
        <x:v>一般</x:v>
      </x:c>
      <x:c r="K72" s="9" t="str">
        <x:v>是（小样本参考）</x:v>
      </x:c>
      <x:c r="L72" s="8" t="str">
        <x:v>参考直播流解析</x:v>
      </x:c>
      <x:c r="M72" s="8" t="str">
        <x:v>直播录制/解析、浏览器扩展</x:v>
      </x:c>
    </x:row>
    <x:row r="73" ht="46" customHeight="1">
      <x:c r="A73" s="9" t="n">
        <x:v>72</x:v>
      </x:c>
      <x:c r="B73" s="8" t="str">
        <x:v>alley-rs/lsar</x:v>
      </x:c>
      <x:c r="C73" s="11" t="n">
        <x:v>216</x:v>
      </x:c>
      <x:c r="D73" s="13" t="n">
        <x:v>46236.701875</x:v>
      </x:c>
      <x:c r="E73" s="9" t="str">
        <x:v>Rust</x:v>
      </x:c>
      <x:c r="F73" s="15" t="str">
        <x:v>https://github.com/alley-rs/lsar</x:v>
      </x:c>
      <x:c r="G73" s="14" t="str">
        <x:v>直播解析图形化程序</x:v>
      </x:c>
      <x:c r="H73" s="8" t="str">
        <x:v>多平台解析/下载、直播录制/解析</x:v>
      </x:c>
      <x:c r="I73" s="9" t="str">
        <x:v>部分</x:v>
      </x:c>
      <x:c r="J73" s="9" t="str">
        <x:v>一般</x:v>
      </x:c>
      <x:c r="K73" s="9" t="str">
        <x:v>是（小样本参考）</x:v>
      </x:c>
      <x:c r="L73" s="8" t="str">
        <x:v>参考多平台适配架构</x:v>
      </x:c>
      <x:c r="M73" s="8" t="str">
        <x:v>多平台解析/下载、直播录制/解析</x:v>
      </x:c>
    </x:row>
    <x:row r="74" ht="46" customHeight="1">
      <x:c r="A74" s="9" t="n">
        <x:v>73</x:v>
      </x:c>
      <x:c r="B74" s="8" t="str">
        <x:v>martinopiaggi/summarize</x:v>
      </x:c>
      <x:c r="C74" s="11" t="n">
        <x:v>210</x:v>
      </x:c>
      <x:c r="D74" s="13" t="n">
        <x:v>46215.86699074074</x:v>
      </x:c>
      <x:c r="E74" s="9" t="str">
        <x:v>Python</x:v>
      </x:c>
      <x:c r="F74" s="15" t="str">
        <x:v>https://github.com/martinopiaggi/summarize</x:v>
      </x:c>
      <x:c r="G74" s="14" t="str">
        <x:v>Video AI summarization from multiple sources (YouTube, X, Instagram, TikTok, Reddit, Facebook, Google Drive, Dropbox, and local files).</x:v>
      </x:c>
      <x:c r="H74" s="8" t="str">
        <x:v>多平台解析/下载、直播录制/解析、AI 去字幕/去水印</x:v>
      </x:c>
      <x:c r="I74" s="9" t="str">
        <x:v>部分</x:v>
      </x:c>
      <x:c r="J74" s="9" t="str">
        <x:v>一般</x:v>
      </x:c>
      <x:c r="K74" s="9" t="str">
        <x:v>是（小样本参考）</x:v>
      </x:c>
      <x:c r="L74" s="8" t="str">
        <x:v>参考多平台适配架构</x:v>
      </x:c>
      <x:c r="M74" s="8" t="str">
        <x:v>多平台解析/下载、直播录制/解析、AI 去字幕/去水印</x:v>
      </x:c>
    </x:row>
    <x:row r="75" ht="46" customHeight="1">
      <x:c r="A75" s="9" t="n">
        <x:v>74</x:v>
      </x:c>
      <x:c r="B75" s="8" t="str">
        <x:v>govdbot/govd</x:v>
      </x:c>
      <x:c r="C75" s="11" t="n">
        <x:v>209</x:v>
      </x:c>
      <x:c r="D75" s="13" t="n">
        <x:v>46094.35774305555</x:v>
      </x:c>
      <x:c r="E75" s="9" t="str">
        <x:v>Go</x:v>
      </x:c>
      <x:c r="F75" s="15" t="str">
        <x:v>https://github.com/govdbot/govd</x:v>
      </x:c>
      <x:c r="G75" s="14" t="str">
        <x:v>a telegram bot for downloading media from various platforms</x:v>
      </x:c>
      <x:c r="H75" s="8" t="str">
        <x:v>多平台解析/下载、Telegram / Bot 集成</x:v>
      </x:c>
      <x:c r="I75" s="9" t="str">
        <x:v>部分</x:v>
      </x:c>
      <x:c r="J75" s="9" t="str">
        <x:v>一般</x:v>
      </x:c>
      <x:c r="K75" s="9" t="str">
        <x:v>是（小样本参考）</x:v>
      </x:c>
      <x:c r="L75" s="8" t="str">
        <x:v>参考多平台适配架构</x:v>
      </x:c>
      <x:c r="M75" s="8" t="str">
        <x:v>多平台解析/下载、Telegram / Bot 集成</x:v>
      </x:c>
    </x:row>
    <x:row r="76" ht="46" customHeight="1">
      <x:c r="A76" s="9" t="n">
        <x:v>75</x:v>
      </x:c>
      <x:c r="B76" s="8" t="str">
        <x:v>archisvaze/arcdlp</x:v>
      </x:c>
      <x:c r="C76" s="11" t="n">
        <x:v>208</x:v>
      </x:c>
      <x:c r="D76" s="13" t="n">
        <x:v>46217.43546296296</x:v>
      </x:c>
      <x:c r="E76" s="9" t="str">
        <x:v>JavaScript</x:v>
      </x:c>
      <x:c r="F76" s="15" t="str">
        <x:v>https://github.com/archisvaze/arcdlp</x:v>
      </x:c>
      <x:c r="G76" s="14" t="str">
        <x:v>Open-source desktop video downloader powered by yt-dlp and electron. Download videos and audio from YouTube, Vimeo, Twitter, and thousands of sites. Works on macOS, Windows and Linux.</x:v>
      </x:c>
      <x:c r="H76" s="8" t="str">
        <x:v>多平台解析/下载、桌面 GUI、音频/音乐下载</x:v>
      </x:c>
      <x:c r="I76" s="9" t="str">
        <x:v>部分</x:v>
      </x:c>
      <x:c r="J76" s="9" t="str">
        <x:v>一般</x:v>
      </x:c>
      <x:c r="K76" s="9" t="str">
        <x:v>是（小样本参考）</x:v>
      </x:c>
      <x:c r="L76" s="8" t="str">
        <x:v>参考多平台适配架构</x:v>
      </x:c>
      <x:c r="M76" s="8" t="str">
        <x:v>多平台解析/下载、桌面 GUI、音频/音乐下载</x:v>
      </x:c>
    </x:row>
    <x:row r="77" ht="46" customHeight="1">
      <x:c r="A77" s="9" t="n">
        <x:v>76</x:v>
      </x:c>
      <x:c r="B77" s="8" t="str">
        <x:v>nayandas69/Social-Media-Downloader</x:v>
      </x:c>
      <x:c r="C77" s="11" t="n">
        <x:v>208</x:v>
      </x:c>
      <x:c r="D77" s="13" t="n">
        <x:v>46143.00997685185</x:v>
      </x:c>
      <x:c r="E77" s="9" t="str">
        <x:v>Python</x:v>
      </x:c>
      <x:c r="F77" s="15" t="str">
        <x:v>https://github.com/nayandas69/Social-Media-Downloader</x:v>
      </x:c>
      <x:c r="G77" s="14" t="str">
        <x:v>Uncool, but honest.</x:v>
      </x:c>
      <x:c r="H77" s="8" t="str">
        <x:v>多平台解析/下载、批量/主页下载</x:v>
      </x:c>
      <x:c r="I77" s="9" t="str">
        <x:v>部分</x:v>
      </x:c>
      <x:c r="J77" s="9" t="str">
        <x:v>一般</x:v>
      </x:c>
      <x:c r="K77" s="9" t="str">
        <x:v>是（小样本参考）</x:v>
      </x:c>
      <x:c r="L77" s="8" t="str">
        <x:v>参考多平台适配架构</x:v>
      </x:c>
      <x:c r="M77" s="8" t="str">
        <x:v>多平台解析/下载、批量/主页下载</x:v>
      </x:c>
    </x:row>
    <x:row r="78" ht="46" customHeight="1">
      <x:c r="A78" s="9" t="n">
        <x:v>77</x:v>
      </x:c>
      <x:c r="B78" s="8" t="str">
        <x:v>hstr0100/GDownloader</x:v>
      </x:c>
      <x:c r="C78" s="11" t="n">
        <x:v>207</x:v>
      </x:c>
      <x:c r="D78" s="13" t="n">
        <x:v>46233.15069444444</x:v>
      </x:c>
      <x:c r="E78" s="9" t="str">
        <x:v>Java</x:v>
      </x:c>
      <x:c r="F78" s="15" t="str">
        <x:v>https://github.com/hstr0100/GDownloader</x:v>
      </x:c>
      <x:c r="G78" s="14" t="str">
        <x:v>Cross-platform, user-friendly GUI for yt-dlp, gallery-dl, and spotDL - batch download videos, playlists, galleries, and music with hardware-accelerated transcoding.</x:v>
      </x:c>
      <x:c r="H78" s="8" t="str">
        <x:v>多平台解析/下载、批量/主页下载、桌面 GUI</x:v>
      </x:c>
      <x:c r="I78" s="9" t="str">
        <x:v>部分</x:v>
      </x:c>
      <x:c r="J78" s="9" t="str">
        <x:v>一般</x:v>
      </x:c>
      <x:c r="K78" s="9" t="str">
        <x:v>是（小样本参考）</x:v>
      </x:c>
      <x:c r="L78" s="8" t="str">
        <x:v>参考多平台适配架构</x:v>
      </x:c>
      <x:c r="M78" s="8" t="str">
        <x:v>多平台解析/下载、批量/主页下载、桌面 GUI、音频/音乐下载</x:v>
      </x:c>
    </x:row>
    <x:row r="79" ht="46" customHeight="1">
      <x:c r="A79" s="9" t="n">
        <x:v>78</x:v>
      </x:c>
      <x:c r="B79" s="8" t="str">
        <x:v>hyeonsangjeon/youtube-dl-nas</x:v>
      </x:c>
      <x:c r="C79" s="11" t="n">
        <x:v>185</x:v>
      </x:c>
      <x:c r="D79" s="13" t="n">
        <x:v>46233.66327546296</x:v>
      </x:c>
      <x:c r="E79" s="9" t="str">
        <x:v>Python</x:v>
      </x:c>
      <x:c r="F79" s="15" t="str">
        <x:v>https://github.com/hyeonsangjeon/youtube-dl-nas</x:v>
      </x:c>
      <x:c r="G79" s="14" t="str">
        <x:v>Asynchronous WebSocket server for queue-based YouTube downloads with user authentication, optimized for private NAS (Docker-ready, batch &amp; resume support).</x:v>
      </x:c>
      <x:c r="H79" s="8" t="str">
        <x:v>多平台解析/下载、批量/主页下载、Web API / 解析服务</x:v>
      </x:c>
      <x:c r="I79" s="9" t="str">
        <x:v>有</x:v>
      </x:c>
      <x:c r="J79" s="9" t="str">
        <x:v>一般</x:v>
      </x:c>
      <x:c r="K79" s="9" t="str">
        <x:v>是（小样本参考）</x:v>
      </x:c>
      <x:c r="L79" s="8" t="str">
        <x:v>参考多平台适配架构</x:v>
      </x:c>
      <x:c r="M79" s="8" t="str">
        <x:v>多平台解析/下载、批量/主页下载、Web API / 解析服务、AI 去字幕/去水印、移动端 App</x:v>
      </x:c>
    </x:row>
    <x:row r="80" ht="46" customHeight="1">
      <x:c r="A80" s="9" t="n">
        <x:v>79</x:v>
      </x:c>
      <x:c r="B80" s="8" t="str">
        <x:v>nichind/comine</x:v>
      </x:c>
      <x:c r="C80" s="11" t="n">
        <x:v>185</x:v>
      </x:c>
      <x:c r="D80" s="13" t="n">
        <x:v>46187.6953125</x:v>
      </x:c>
      <x:c r="E80" s="9" t="str">
        <x:v>Rust</x:v>
      </x:c>
      <x:c r="F80" s="15" t="str">
        <x:v>https://github.com/nichind/comine</x:v>
      </x:c>
      <x:c r="G80" s="14" t="str">
        <x:v>Cross-platform media (video, audio), file, torrent, gallery, &amp; more downloader/archiver. Available on Windows, Linux, MacOS and Android.</x:v>
      </x:c>
      <x:c r="H80" s="8" t="str">
        <x:v>多平台解析/下载、桌面 GUI、音频/音乐下载</x:v>
      </x:c>
      <x:c r="I80" s="9" t="str">
        <x:v>部分</x:v>
      </x:c>
      <x:c r="J80" s="9" t="str">
        <x:v>一般</x:v>
      </x:c>
      <x:c r="K80" s="9" t="str">
        <x:v>是（小样本参考）</x:v>
      </x:c>
      <x:c r="L80" s="8" t="str">
        <x:v>参考多平台适配架构</x:v>
      </x:c>
      <x:c r="M80" s="8" t="str">
        <x:v>多平台解析/下载、桌面 GUI、音频/音乐下载、AI 去字幕/去水印、移动端 App、历史/备份/存档</x:v>
      </x:c>
    </x:row>
    <x:row r="81" ht="46" customHeight="1">
      <x:c r="A81" s="9" t="n">
        <x:v>80</x:v>
      </x:c>
      <x:c r="B81" s="8" t="str">
        <x:v>TeamBreakerr/douyin-chat-export</x:v>
      </x:c>
      <x:c r="C81" s="11" t="n">
        <x:v>182</x:v>
      </x:c>
      <x:c r="D81" s="13" t="n">
        <x:v>46224.106782407405</x:v>
      </x:c>
      <x:c r="E81" s="9" t="str">
        <x:v>Python</x:v>
      </x:c>
      <x:c r="F81" s="15" t="str">
        <x:v>https://github.com/TeamBreakerr/douyin-chat-export</x:v>
      </x:c>
      <x:c r="G81" s="14" t="str">
        <x:v>从抖音网页版完整导出私信聊天记录，Vue 3 + FastAPI 本地浏览界面</x:v>
      </x:c>
      <x:c r="H81" s="8" t="str">
        <x:v>多平台解析/下载、Web API / 解析服务</x:v>
      </x:c>
      <x:c r="I81" s="9" t="str">
        <x:v>有</x:v>
      </x:c>
      <x:c r="J81" s="9" t="str">
        <x:v>一般</x:v>
      </x:c>
      <x:c r="K81" s="9" t="str">
        <x:v>是（小样本参考）</x:v>
      </x:c>
      <x:c r="L81" s="8" t="str">
        <x:v>参考多平台适配架构</x:v>
      </x:c>
      <x:c r="M81" s="8" t="str">
        <x:v>多平台解析/下载、Web API / 解析服务</x:v>
      </x:c>
    </x:row>
    <x:row r="82" ht="46" customHeight="1">
      <x:c r="A82" s="9" t="n">
        <x:v>81</x:v>
      </x:c>
      <x:c r="B82" s="8" t="str">
        <x:v>samirelanduk/tiktok-save</x:v>
      </x:c>
      <x:c r="C82" s="11" t="n">
        <x:v>178</x:v>
      </x:c>
      <x:c r="D82" s="13" t="n">
        <x:v>46125.52253472222</x:v>
      </x:c>
      <x:c r="E82" s="9" t="str">
        <x:v>Python</x:v>
      </x:c>
      <x:c r="F82" s="15" t="str">
        <x:v>https://github.com/samirelanduk/tiktok-save</x:v>
      </x:c>
      <x:c r="G82" s="14" t="str">
        <x:v>A Python tool for backing up your liked and bookmarked videos on tiktok to your computer.</x:v>
      </x:c>
      <x:c r="H82" s="8" t="str">
        <x:v>多平台解析/下载、批量/主页下载、历史/备份/存档</x:v>
      </x:c>
      <x:c r="I82" s="9" t="str">
        <x:v>部分</x:v>
      </x:c>
      <x:c r="J82" s="9" t="str">
        <x:v>一般</x:v>
      </x:c>
      <x:c r="K82" s="9" t="str">
        <x:v>是（小样本参考）</x:v>
      </x:c>
      <x:c r="L82" s="8" t="str">
        <x:v>参考多平台适配架构</x:v>
      </x:c>
      <x:c r="M82" s="8" t="str">
        <x:v>多平台解析/下载、批量/主页下载、历史/备份/存档</x:v>
      </x:c>
    </x:row>
    <x:row r="83" ht="46" customHeight="1">
      <x:c r="A83" s="9" t="n">
        <x:v>82</x:v>
      </x:c>
      <x:c r="B83" s="8" t="str">
        <x:v>mysteryx93/HanumanInstituteApps</x:v>
      </x:c>
      <x:c r="C83" s="11" t="n">
        <x:v>175</x:v>
      </x:c>
      <x:c r="D83" s="13" t="n">
        <x:v>46235.196875</x:v>
      </x:c>
      <x:c r="E83" s="9" t="str"/>
      <x:c r="F83" s="15" t="str">
        <x:v>https://github.com/mysteryx93/HanumanInstituteApps</x:v>
      </x:c>
      <x:c r="G83" s="14" t="str">
        <x:v>432Hz Player, 432Hz Batch Converter, Powerliminals Player, Yang YouTube Downloader</x:v>
      </x:c>
      <x:c r="H83" s="8" t="str">
        <x:v>多平台解析/下载、批量/主页下载</x:v>
      </x:c>
      <x:c r="I83" s="9" t="str">
        <x:v>部分</x:v>
      </x:c>
      <x:c r="J83" s="9" t="str">
        <x:v>一般</x:v>
      </x:c>
      <x:c r="K83" s="9" t="str">
        <x:v>是（小样本参考）</x:v>
      </x:c>
      <x:c r="L83" s="8" t="str">
        <x:v>参考多平台适配架构</x:v>
      </x:c>
      <x:c r="M83" s="8" t="str">
        <x:v>多平台解析/下载、批量/主页下载</x:v>
      </x:c>
    </x:row>
    <x:row r="84" ht="46" customHeight="1">
      <x:c r="A84" s="9" t="n">
        <x:v>83</x:v>
      </x:c>
      <x:c r="B84" s="8" t="str">
        <x:v>imsyy/yt-dlp-gui</x:v>
      </x:c>
      <x:c r="C84" s="11" t="n">
        <x:v>168</x:v>
      </x:c>
      <x:c r="D84" s="13" t="n">
        <x:v>46155.623611111114</x:v>
      </x:c>
      <x:c r="E84" s="9" t="str">
        <x:v>Vue</x:v>
      </x:c>
      <x:c r="F84" s="15" t="str">
        <x:v>https://github.com/imsyy/yt-dlp-gui</x:v>
      </x:c>
      <x:c r="G84" s="14" t="str">
        <x:v>A modern cross-platform GUI for yt-dlp. Download videos from YouTube, Bilibili, TikTok and 1000+ sites. Built with Tauri + Vue.</x:v>
      </x:c>
      <x:c r="H84" s="8" t="str">
        <x:v>多平台解析/下载、桌面 GUI</x:v>
      </x:c>
      <x:c r="I84" s="9" t="str">
        <x:v>部分</x:v>
      </x:c>
      <x:c r="J84" s="9" t="str">
        <x:v>一般</x:v>
      </x:c>
      <x:c r="K84" s="9" t="str">
        <x:v>是（小样本参考）</x:v>
      </x:c>
      <x:c r="L84" s="8" t="str">
        <x:v>参考多平台适配架构</x:v>
      </x:c>
      <x:c r="M84" s="8" t="str">
        <x:v>多平台解析/下载、桌面 GUI</x:v>
      </x:c>
    </x:row>
    <x:row r="85" ht="46" customHeight="1">
      <x:c r="A85" s="9" t="n">
        <x:v>84</x:v>
      </x:c>
      <x:c r="B85" s="8" t="str">
        <x:v>hansputera/tiktok-dl</x:v>
      </x:c>
      <x:c r="C85" s="11" t="n">
        <x:v>159</x:v>
      </x:c>
      <x:c r="D85" s="13" t="n">
        <x:v>46236.448483796295</x:v>
      </x:c>
      <x:c r="E85" s="9" t="str">
        <x:v>TypeScript</x:v>
      </x:c>
      <x:c r="F85" s="15" t="str">
        <x:v>https://github.com/hansputera/tiktok-dl</x:v>
      </x:c>
      <x:c r="G85" s="14" t="str">
        <x:v>Free TikTok Video Downloader | Watermark and Without Watermark Support </x:v>
      </x:c>
      <x:c r="H85" s="8" t="str">
        <x:v>多平台解析/下载、短视频/链接去水印、Web API / 解析服务</x:v>
      </x:c>
      <x:c r="I85" s="9" t="str">
        <x:v>有</x:v>
      </x:c>
      <x:c r="J85" s="9" t="str">
        <x:v>一般</x:v>
      </x:c>
      <x:c r="K85" s="9" t="str">
        <x:v>是（小样本参考）</x:v>
      </x:c>
      <x:c r="L85" s="8" t="str">
        <x:v>参考解析器与去水印链路</x:v>
      </x:c>
      <x:c r="M85" s="8" t="str">
        <x:v>多平台解析/下载、短视频/链接去水印、Web API / 解析服务</x:v>
      </x:c>
    </x:row>
    <x:row r="86" ht="46" customHeight="1">
      <x:c r="A86" s="9" t="n">
        <x:v>85</x:v>
      </x:c>
      <x:c r="B86" s="8" t="str">
        <x:v>egmtm/EGM-Downloader</x:v>
      </x:c>
      <x:c r="C86" s="11" t="n">
        <x:v>156</x:v>
      </x:c>
      <x:c r="D86" s="13" t="n">
        <x:v>46235.79622685185</x:v>
      </x:c>
      <x:c r="E86" s="9" t="str">
        <x:v>HTML</x:v>
      </x:c>
      <x:c r="F86" s="15" t="str">
        <x:v>https://github.com/egmtm/EGM-Downloader</x:v>
      </x:c>
      <x:c r="G86" s="14" t="str">
        <x:v>Your beautiful, powerful, fast, secure and stable video &amp; audio downloader for 1000+ sites.  Native desktop apps for Windows, macOS, and Linux — no terminal required. Zero telemetry.</x:v>
      </x:c>
      <x:c r="H86" s="8" t="str">
        <x:v>多平台解析/下载、桌面 GUI、音频/音乐下载</x:v>
      </x:c>
      <x:c r="I86" s="9" t="str">
        <x:v>部分</x:v>
      </x:c>
      <x:c r="J86" s="9" t="str">
        <x:v>一般</x:v>
      </x:c>
      <x:c r="K86" s="9" t="str">
        <x:v>是（小样本参考）</x:v>
      </x:c>
      <x:c r="L86" s="8" t="str">
        <x:v>参考多平台适配架构</x:v>
      </x:c>
      <x:c r="M86" s="8" t="str">
        <x:v>多平台解析/下载、桌面 GUI、音频/音乐下载</x:v>
      </x:c>
    </x:row>
    <x:row r="87" ht="46" customHeight="1">
      <x:c r="A87" s="9" t="n">
        <x:v>86</x:v>
      </x:c>
      <x:c r="B87" s="8" t="str">
        <x:v>DmitryScaletta/twitch-dlp</x:v>
      </x:c>
      <x:c r="C87" s="11" t="n">
        <x:v>156</x:v>
      </x:c>
      <x:c r="D87" s="13" t="n">
        <x:v>46172.28494212963</x:v>
      </x:c>
      <x:c r="E87" s="9" t="str">
        <x:v>TypeScript</x:v>
      </x:c>
      <x:c r="F87" s="15" t="str">
        <x:v>https://github.com/DmitryScaletta/twitch-dlp</x:v>
      </x:c>
      <x:c r="G87" s="14" t="str">
        <x:v>Download any Twitch VODs from the start during a live broadcast</x:v>
      </x:c>
      <x:c r="H87" s="8" t="str">
        <x:v>直播录制/解析</x:v>
      </x:c>
      <x:c r="I87" s="9" t="str">
        <x:v>否</x:v>
      </x:c>
      <x:c r="J87" s="9" t="str">
        <x:v>一般</x:v>
      </x:c>
      <x:c r="K87" s="9" t="str">
        <x:v>是（小样本参考）</x:v>
      </x:c>
      <x:c r="L87" s="8" t="str">
        <x:v>参考直播流解析</x:v>
      </x:c>
      <x:c r="M87" s="8" t="str">
        <x:v>直播录制/解析</x:v>
      </x:c>
    </x:row>
    <x:row r="88" ht="46" customHeight="1">
      <x:c r="A88" s="9" t="n">
        <x:v>87</x:v>
      </x:c>
      <x:c r="B88" s="8" t="str">
        <x:v>boboskon/media-savant</x:v>
      </x:c>
      <x:c r="C88" s="11" t="n">
        <x:v>154</x:v>
      </x:c>
      <x:c r="D88" s="13" t="n">
        <x:v>46237.73657407407</x:v>
      </x:c>
      <x:c r="E88" s="9" t="str">
        <x:v>HTML</x:v>
      </x:c>
      <x:c r="F88" s="15" t="str">
        <x:v>https://github.com/boboskon/media-savant</x:v>
      </x:c>
      <x:c r="G88" s="14" t="str">
        <x:v>Best Android Video Downloader with Browser &amp; Live Stream M3U8 MPD Support 2026</x:v>
      </x:c>
      <x:c r="H88" s="8" t="str">
        <x:v>多平台解析/下载、直播录制/解析、Web API / 解析服务</x:v>
      </x:c>
      <x:c r="I88" s="9" t="str">
        <x:v>有</x:v>
      </x:c>
      <x:c r="J88" s="9" t="str">
        <x:v>一般</x:v>
      </x:c>
      <x:c r="K88" s="9" t="str">
        <x:v>是（小样本参考）</x:v>
      </x:c>
      <x:c r="L88" s="8" t="str">
        <x:v>参考多平台适配架构</x:v>
      </x:c>
      <x:c r="M88" s="8" t="str">
        <x:v>多平台解析/下载、直播录制/解析、Web API / 解析服务、音频/音乐下载、M3U8/HLS/DASH 支持、移动端 App</x:v>
      </x:c>
    </x:row>
    <x:row r="89" ht="46" customHeight="1">
      <x:c r="A89" s="9" t="n">
        <x:v>88</x:v>
      </x:c>
      <x:c r="B89" s="8" t="str">
        <x:v>amitghosalkar/serp-video-stream-engine</x:v>
      </x:c>
      <x:c r="C89" s="11" t="n">
        <x:v>151</x:v>
      </x:c>
      <x:c r="D89" s="13" t="n">
        <x:v>46237.73774305556</x:v>
      </x:c>
      <x:c r="E89" s="9" t="str">
        <x:v>HTML</x:v>
      </x:c>
      <x:c r="F89" s="15" t="str">
        <x:v>https://github.com/amitghosalkar/serp-video-stream-engine</x:v>
      </x:c>
      <x:c r="G89" s="14" t="str">
        <x:v>Best Video Saver &amp; Browser Extension for Any Website 2026</x:v>
      </x:c>
      <x:c r="H89" s="8" t="str">
        <x:v>直播录制/解析、浏览器扩展、Web API / 解析服务</x:v>
      </x:c>
      <x:c r="I89" s="9" t="str">
        <x:v>有</x:v>
      </x:c>
      <x:c r="J89" s="9" t="str">
        <x:v>一般</x:v>
      </x:c>
      <x:c r="K89" s="9" t="str">
        <x:v>是（小样本参考）</x:v>
      </x:c>
      <x:c r="L89" s="8" t="str">
        <x:v>参考 API/部署设计</x:v>
      </x:c>
      <x:c r="M89" s="8" t="str">
        <x:v>直播录制/解析、浏览器扩展、Web API / 解析服务</x:v>
      </x:c>
    </x:row>
    <x:row r="90" ht="46" customHeight="1">
      <x:c r="A90" s="9" t="n">
        <x:v>89</x:v>
      </x:c>
      <x:c r="B90" s="8" t="str">
        <x:v>adcc-hanyang/media-savant</x:v>
      </x:c>
      <x:c r="C90" s="11" t="n">
        <x:v>151</x:v>
      </x:c>
      <x:c r="D90" s="13" t="n">
        <x:v>46237.68335648148</x:v>
      </x:c>
      <x:c r="E90" s="9" t="str">
        <x:v>HTML</x:v>
      </x:c>
      <x:c r="F90" s="15" t="str">
        <x:v>https://github.com/adcc-hanyang/media-savant</x:v>
      </x:c>
      <x:c r="G90" s="14" t="str">
        <x:v>Best Android Video Downloader with Browser &amp; Live Stream M3U8 MPD Support 2026</x:v>
      </x:c>
      <x:c r="H90" s="8" t="str">
        <x:v>多平台解析/下载、直播录制/解析、Web API / 解析服务</x:v>
      </x:c>
      <x:c r="I90" s="9" t="str">
        <x:v>有</x:v>
      </x:c>
      <x:c r="J90" s="9" t="str">
        <x:v>一般</x:v>
      </x:c>
      <x:c r="K90" s="9" t="str">
        <x:v>是（小样本参考）</x:v>
      </x:c>
      <x:c r="L90" s="8" t="str">
        <x:v>参考多平台适配架构</x:v>
      </x:c>
      <x:c r="M90" s="8" t="str">
        <x:v>多平台解析/下载、直播录制/解析、Web API / 解析服务、音频/音乐下载、M3U8/HLS/DASH 支持、移动端 App</x:v>
      </x:c>
    </x:row>
    <x:row r="91" ht="46" customHeight="1">
      <x:c r="A91" s="9" t="n">
        <x:v>90</x:v>
      </x:c>
      <x:c r="B91" s="8" t="str">
        <x:v>mal1k-me/bunny-cdn-drm-video-dl</x:v>
      </x:c>
      <x:c r="C91" s="11" t="n">
        <x:v>145</x:v>
      </x:c>
      <x:c r="D91" s="13" t="n">
        <x:v>46218.57743055555</x:v>
      </x:c>
      <x:c r="E91" s="9" t="str">
        <x:v>Python</x:v>
      </x:c>
      <x:c r="F91" s="15" t="str">
        <x:v>https://github.com/mal1k-me/bunny-cdn-drm-video-dl</x:v>
      </x:c>
      <x:c r="G91" s="14" t="str">
        <x:v>A Python tool to download Bunny CDN's "DRM" videos using yt-dlp</x:v>
      </x:c>
      <x:c r="H91" s="8" t="str">
        <x:v>直播录制/解析、M3U8/HLS/DASH 支持</x:v>
      </x:c>
      <x:c r="I91" s="9" t="str">
        <x:v>否</x:v>
      </x:c>
      <x:c r="J91" s="9" t="str">
        <x:v>一般</x:v>
      </x:c>
      <x:c r="K91" s="9" t="str">
        <x:v>是（小样本参考）</x:v>
      </x:c>
      <x:c r="L91" s="8" t="str">
        <x:v>参考直播流解析</x:v>
      </x:c>
      <x:c r="M91" s="8" t="str">
        <x:v>直播录制/解析、M3U8/HLS/DASH 支持</x:v>
      </x:c>
    </x:row>
    <x:row r="92" ht="46" customHeight="1">
      <x:c r="A92" s="9" t="n">
        <x:v>91</x:v>
      </x:c>
      <x:c r="B92" s="8" t="str">
        <x:v>VishwaiOSDev/Loadify-iOS</x:v>
      </x:c>
      <x:c r="C92" s="11" t="n">
        <x:v>144</x:v>
      </x:c>
      <x:c r="D92" s="13" t="n">
        <x:v>46205.79015046296</x:v>
      </x:c>
      <x:c r="E92" s="9" t="str">
        <x:v>Swift</x:v>
      </x:c>
      <x:c r="F92" s="15" t="str">
        <x:v>https://github.com/VishwaiOSDev/Loadify-iOS</x:v>
      </x:c>
      <x:c r="G92" s="14" t="str">
        <x:v>Instant Instagram, Facebook, LinkedIn and TikTok video downloader for iOS.</x:v>
      </x:c>
      <x:c r="H92" s="8" t="str">
        <x:v>多平台解析/下载、AI 去字幕/去水印、移动端 App</x:v>
      </x:c>
      <x:c r="I92" s="9" t="str">
        <x:v>部分</x:v>
      </x:c>
      <x:c r="J92" s="9" t="str">
        <x:v>一般</x:v>
      </x:c>
      <x:c r="K92" s="9" t="str">
        <x:v>是（小样本参考）</x:v>
      </x:c>
      <x:c r="L92" s="8" t="str">
        <x:v>参考多平台适配架构</x:v>
      </x:c>
      <x:c r="M92" s="8" t="str">
        <x:v>多平台解析/下载、AI 去字幕/去水印、移动端 App</x:v>
      </x:c>
    </x:row>
    <x:row r="93" ht="46" customHeight="1">
      <x:c r="A93" s="9" t="n">
        <x:v>92</x:v>
      </x:c>
      <x:c r="B93" s="8" t="str">
        <x:v>wouldmissyou/MoreAPI</x:v>
      </x:c>
      <x:c r="C93" s="11" t="n">
        <x:v>142</x:v>
      </x:c>
      <x:c r="D93" s="13" t="n">
        <x:v>46167.05087962963</x:v>
      </x:c>
      <x:c r="E93" s="9" t="str">
        <x:v>Python</x:v>
      </x:c>
      <x:c r="F93" s="15" t="str">
        <x:v>https://github.com/wouldmissyou/MoreAPI</x:v>
      </x:c>
      <x:c r="G93" s="14" t="str">
        <x:v>MoreAPI是抖音/lemon8/小红书/快手等各视频平台非官方的RESTful API平台。抖音视频解析、小红书解析、快手解析、youtube解析、B站解析</x:v>
      </x:c>
      <x:c r="H93" s="8" t="str">
        <x:v>多平台解析/下载、Web API / 解析服务</x:v>
      </x:c>
      <x:c r="I93" s="9" t="str">
        <x:v>有</x:v>
      </x:c>
      <x:c r="J93" s="9" t="str">
        <x:v>一般</x:v>
      </x:c>
      <x:c r="K93" s="9" t="str">
        <x:v>是（小样本参考）</x:v>
      </x:c>
      <x:c r="L93" s="8" t="str">
        <x:v>参考多平台适配架构</x:v>
      </x:c>
      <x:c r="M93" s="8" t="str">
        <x:v>多平台解析/下载、Web API / 解析服务</x:v>
      </x:c>
    </x:row>
    <x:row r="94" ht="46" customHeight="1">
      <x:c r="A94" s="9" t="n">
        <x:v>93</x:v>
      </x:c>
      <x:c r="B94" s="8" t="str">
        <x:v>z-mio/ParseHub</x:v>
      </x:c>
      <x:c r="C94" s="11" t="n">
        <x:v>134</x:v>
      </x:c>
      <x:c r="D94" s="13" t="n">
        <x:v>46237.521678240744</x:v>
      </x:c>
      <x:c r="E94" s="9" t="str">
        <x:v>Python</x:v>
      </x:c>
      <x:c r="F94" s="15" t="str">
        <x:v>https://github.com/z-mio/ParseHub</x:v>
      </x:c>
      <x:c r="G94" s="14" t="str">
        <x:v>轻量、异步、开箱即用的社交媒体聚合解析库</x:v>
      </x:c>
      <x:c r="H94" s="8" t="str">
        <x:v>多平台解析/下载</x:v>
      </x:c>
      <x:c r="I94" s="9" t="str">
        <x:v>部分</x:v>
      </x:c>
      <x:c r="J94" s="9" t="str">
        <x:v>一般</x:v>
      </x:c>
      <x:c r="K94" s="9" t="str">
        <x:v>是（小样本参考）</x:v>
      </x:c>
      <x:c r="L94" s="8" t="str">
        <x:v>参考多平台适配架构</x:v>
      </x:c>
      <x:c r="M94" s="8" t="str">
        <x:v>多平台解析/下载</x:v>
      </x:c>
    </x:row>
    <x:row r="95" ht="46" customHeight="1">
      <x:c r="A95" s="9" t="n">
        <x:v>94</x:v>
      </x:c>
      <x:c r="B95" s="8" t="str">
        <x:v>ucmao/media-parser</x:v>
      </x:c>
      <x:c r="C95" s="11" t="n">
        <x:v>131</x:v>
      </x:c>
      <x:c r="D95" s="13" t="n">
        <x:v>46210.63842592593</x:v>
      </x:c>
      <x:c r="E95" s="9" t="str">
        <x:v>Python</x:v>
      </x:c>
      <x:c r="F95" s="15" t="str">
        <x:v>https://github.com/ucmao/media-parser</x:v>
      </x:c>
      <x:c r="G95" s="14" t="str">
        <x:v>media-parser是一个高性能RESTful API解析去水印服务，专注于多平台短视频的解析与去水印核心功能。它支持抖音、快手、小红书等26主流平台，支持获取作者、标题、封面、视频、图集、音频、Live实况等，并提供简洁易用的接口供前端调用。项目采用下载器工厂模式实现平台兼容性，是支撑短视频去水印小程序或Web应用的理想后端解决方案。</x:v>
      </x:c>
      <x:c r="H95" s="8" t="str">
        <x:v>多平台解析/下载、短视频/链接去水印、直播录制/解析</x:v>
      </x:c>
      <x:c r="I95" s="9" t="str">
        <x:v>有</x:v>
      </x:c>
      <x:c r="J95" s="9" t="str">
        <x:v>一般</x:v>
      </x:c>
      <x:c r="K95" s="9" t="str">
        <x:v>是（小样本参考）</x:v>
      </x:c>
      <x:c r="L95" s="8" t="str">
        <x:v>参考解析器与去水印链路</x:v>
      </x:c>
      <x:c r="M95" s="8" t="str">
        <x:v>多平台解析/下载、短视频/链接去水印、直播录制/解析、Web API / 解析服务</x:v>
      </x:c>
    </x:row>
    <x:row r="96" ht="46" customHeight="1">
      <x:c r="A96" s="9" t="n">
        <x:v>95</x:v>
      </x:c>
      <x:c r="B96" s="8" t="str">
        <x:v>milancodess/universalDownloader</x:v>
      </x:c>
      <x:c r="C96" s="11" t="n">
        <x:v>127</x:v>
      </x:c>
      <x:c r="D96" s="13" t="n">
        <x:v>46167.290497685186</x:v>
      </x:c>
      <x:c r="E96" s="9" t="str">
        <x:v>JavaScript</x:v>
      </x:c>
      <x:c r="F96" s="15" t="str">
        <x:v>https://github.com/milancodess/universalDownloader</x:v>
      </x:c>
      <x:c r="G96" s="14" t="str">
        <x:v>API for downloading videos and media from popular platforms like Douyin, Instagram, Facebook, Pinterest, Reddit, Threads, Twitter, TikTok, YouTube, etc..</x:v>
      </x:c>
      <x:c r="H96" s="8" t="str">
        <x:v>多平台解析/下载、Web API / 解析服务</x:v>
      </x:c>
      <x:c r="I96" s="9" t="str">
        <x:v>有</x:v>
      </x:c>
      <x:c r="J96" s="9" t="str">
        <x:v>一般</x:v>
      </x:c>
      <x:c r="K96" s="9" t="str">
        <x:v>是（小样本参考）</x:v>
      </x:c>
      <x:c r="L96" s="8" t="str">
        <x:v>参考多平台适配架构</x:v>
      </x:c>
      <x:c r="M96" s="8" t="str">
        <x:v>多平台解析/下载、Web API / 解析服务</x:v>
      </x:c>
    </x:row>
    <x:row r="97" ht="46" customHeight="1">
      <x:c r="A97" s="9" t="n">
        <x:v>96</x:v>
      </x:c>
      <x:c r="B97" s="8" t="str">
        <x:v>huifeng-kooboo/Spider_DouYin_Videos</x:v>
      </x:c>
      <x:c r="C97" s="11" t="n">
        <x:v>122</x:v>
      </x:c>
      <x:c r="D97" s="13" t="n">
        <x:v>46119.33414351852</x:v>
      </x:c>
      <x:c r="E97" s="9" t="str">
        <x:v>JavaScript</x:v>
      </x:c>
      <x:c r="F97" s="15" t="str">
        <x:v>https://github.com/huifeng-kooboo/Spider_DouYin_Videos</x:v>
      </x:c>
      <x:c r="G97" s="14" t="str">
        <x:v>如有额外需求 加微信: ytouching</x:v>
      </x:c>
      <x:c r="H97" s="8" t="str">
        <x:v>多平台解析/下载、直播录制/解析、Web API / 解析服务</x:v>
      </x:c>
      <x:c r="I97" s="9" t="str">
        <x:v>有</x:v>
      </x:c>
      <x:c r="J97" s="9" t="str">
        <x:v>一般</x:v>
      </x:c>
      <x:c r="K97" s="9" t="str">
        <x:v>是（小样本参考）</x:v>
      </x:c>
      <x:c r="L97" s="8" t="str">
        <x:v>参考多平台适配架构</x:v>
      </x:c>
      <x:c r="M97" s="8" t="str">
        <x:v>多平台解析/下载、直播录制/解析、Web API / 解析服务、SDK / 封装库</x:v>
      </x:c>
    </x:row>
    <x:row r="98" ht="46" customHeight="1">
      <x:c r="A98" s="9" t="n">
        <x:v>97</x:v>
      </x:c>
      <x:c r="B98" s="8" t="str">
        <x:v>tikapi-io/tiktok-api</x:v>
      </x:c>
      <x:c r="C98" s="11" t="n">
        <x:v>117</x:v>
      </x:c>
      <x:c r="D98" s="13" t="n">
        <x:v>46223.62290509259</x:v>
      </x:c>
      <x:c r="E98" s="9" t="str">
        <x:v>JavaScript</x:v>
      </x:c>
      <x:c r="F98" s="15" t="str">
        <x:v>https://github.com/tikapi-io/tiktok-api</x:v>
      </x:c>
      <x:c r="G98" s="14" t="str">
        <x:v>A fully managed TikTok API</x:v>
      </x:c>
      <x:c r="H98" s="8" t="str">
        <x:v>多平台解析/下载、直播录制/解析、Web API / 解析服务</x:v>
      </x:c>
      <x:c r="I98" s="9" t="str">
        <x:v>有</x:v>
      </x:c>
      <x:c r="J98" s="9" t="str">
        <x:v>一般</x:v>
      </x:c>
      <x:c r="K98" s="9" t="str">
        <x:v>是（小样本参考）</x:v>
      </x:c>
      <x:c r="L98" s="8" t="str">
        <x:v>参考多平台适配架构</x:v>
      </x:c>
      <x:c r="M98" s="8" t="str">
        <x:v>多平台解析/下载、直播录制/解析、Web API / 解析服务、搜索/账号数据采集、Telegram / Bot 集成</x:v>
      </x:c>
    </x:row>
    <x:row r="99" ht="46" customHeight="1">
      <x:c r="A99" s="9" t="n">
        <x:v>98</x:v>
      </x:c>
      <x:c r="B99" s="8" t="str">
        <x:v>Lolita-cybe/doubao-dola-watermark-helper</x:v>
      </x:c>
      <x:c r="C99" s="11" t="n">
        <x:v>117</x:v>
      </x:c>
      <x:c r="D99" s="13" t="n">
        <x:v>46237.09813657407</x:v>
      </x:c>
      <x:c r="E99" s="9" t="str">
        <x:v>JavaScript</x:v>
      </x:c>
      <x:c r="F99" s="15" t="str">
        <x:v>https://github.com/Lolita-cybe/doubao-dola-watermark-helper</x:v>
      </x:c>
      <x:c r="G99" s="14" t="str">
        <x:v>豆包 / Dola 浏览器资源助手：支持 4～15 秒自定义视频时长、无水印资源提取、视频预览、批量下载与账号识别</x:v>
      </x:c>
      <x:c r="H99" s="8" t="str">
        <x:v>短视频/链接去水印、批量/主页下载、浏览器扩展</x:v>
      </x:c>
      <x:c r="I99" s="9" t="str">
        <x:v>有</x:v>
      </x:c>
      <x:c r="J99" s="9" t="str">
        <x:v>一般</x:v>
      </x:c>
      <x:c r="K99" s="9" t="str">
        <x:v>是（小样本参考）</x:v>
      </x:c>
      <x:c r="L99" s="8" t="str">
        <x:v>参考解析器与去水印链路</x:v>
      </x:c>
      <x:c r="M99" s="8" t="str">
        <x:v>短视频/链接去水印、批量/主页下载、浏览器扩展、搜索/账号数据采集</x:v>
      </x:c>
    </x:row>
    <x:row r="100" ht="46" customHeight="1">
      <x:c r="A100" s="9" t="n">
        <x:v>99</x:v>
      </x:c>
      <x:c r="B100" s="8" t="str">
        <x:v>coah80/yoink</x:v>
      </x:c>
      <x:c r="C100" s="11" t="n">
        <x:v>117</x:v>
      </x:c>
      <x:c r="D100" s="13" t="n">
        <x:v>46194.219363425924</x:v>
      </x:c>
      <x:c r="E100" s="9" t="str">
        <x:v>Go</x:v>
      </x:c>
      <x:c r="F100" s="15" t="str">
        <x:v>https://github.com/coah80/yoink</x:v>
      </x:c>
      <x:c r="G100" s="14" t="str">
        <x:v>A simple, open-source media downloader powered by yt-dlp</x:v>
      </x:c>
      <x:c r="H100" s="8" t="str">
        <x:v>多平台解析/下载、Telegram / Bot 集成</x:v>
      </x:c>
      <x:c r="I100" s="9" t="str">
        <x:v>部分</x:v>
      </x:c>
      <x:c r="J100" s="9" t="str">
        <x:v>一般</x:v>
      </x:c>
      <x:c r="K100" s="9" t="str">
        <x:v>是（小样本参考）</x:v>
      </x:c>
      <x:c r="L100" s="8" t="str">
        <x:v>参考多平台适配架构</x:v>
      </x:c>
      <x:c r="M100" s="8" t="str">
        <x:v>多平台解析/下载、Telegram / Bot 集成</x:v>
      </x:c>
    </x:row>
    <x:row r="101" ht="46" customHeight="1">
      <x:c r="A101" s="9" t="n">
        <x:v>100</x:v>
      </x:c>
      <x:c r="B101" s="8" t="str">
        <x:v>abdellatif-laghjaj/ClipSave</x:v>
      </x:c>
      <x:c r="C101" s="11" t="n">
        <x:v>114</x:v>
      </x:c>
      <x:c r="D101" s="13" t="n">
        <x:v>46237.74568287037</x:v>
      </x:c>
      <x:c r="E101" s="9" t="str">
        <x:v>Kotlin</x:v>
      </x:c>
      <x:c r="F101" s="15" t="str">
        <x:v>https://github.com/abdellatif-laghjaj/ClipSave</x:v>
      </x:c>
      <x:c r="G101" s="14" t="str">
        <x:v>Fast, open-source all in one android video, media downloader for 1000+ websites. Save videos, audio, and images with yt-dlp, including facebook, insatgram, tiktok, pintrest, youtube videos and more. No ads, tracking, or storage permissions.</x:v>
      </x:c>
      <x:c r="H101" s="8" t="str">
        <x:v>多平台解析/下载、Web API / 解析服务、音频/音乐下载</x:v>
      </x:c>
      <x:c r="I101" s="9" t="str">
        <x:v>有</x:v>
      </x:c>
      <x:c r="J101" s="9" t="str">
        <x:v>一般</x:v>
      </x:c>
      <x:c r="K101" s="9" t="str">
        <x:v>是（小样本参考）</x:v>
      </x:c>
      <x:c r="L101" s="8" t="str">
        <x:v>参考多平台适配架构</x:v>
      </x:c>
      <x:c r="M101" s="8" t="str">
        <x:v>多平台解析/下载、Web API / 解析服务、音频/音乐下载、移动端 App</x:v>
      </x:c>
    </x:row>
    <x:row r="102" ht="46" customHeight="1">
      <x:c r="A102" s="9" t="n">
        <x:v>101</x:v>
      </x:c>
      <x:c r="B102" s="8" t="str">
        <x:v>naseif/tiktok-scraper</x:v>
      </x:c>
      <x:c r="C102" s="11" t="n">
        <x:v>111</x:v>
      </x:c>
      <x:c r="D102" s="13" t="n">
        <x:v>46193.70097222222</x:v>
      </x:c>
      <x:c r="E102" s="9" t="str">
        <x:v>TypeScript</x:v>
      </x:c>
      <x:c r="F102" s="15" t="str">
        <x:v>https://github.com/naseif/tiktok-scraper</x:v>
      </x:c>
      <x:c r="G102" s="14" t="str">
        <x:v>Scraper for TikTok. Download videos, music, fetch users info and more. </x:v>
      </x:c>
      <x:c r="H102" s="8" t="str">
        <x:v>多平台解析/下载、搜索/账号数据采集、音频/音乐下载</x:v>
      </x:c>
      <x:c r="I102" s="9" t="str">
        <x:v>部分</x:v>
      </x:c>
      <x:c r="J102" s="9" t="str">
        <x:v>一般</x:v>
      </x:c>
      <x:c r="K102" s="9" t="str">
        <x:v>是（小样本参考）</x:v>
      </x:c>
      <x:c r="L102" s="8" t="str">
        <x:v>参考多平台适配架构</x:v>
      </x:c>
      <x:c r="M102" s="8" t="str">
        <x:v>多平台解析/下载、搜索/账号数据采集、音频/音乐下载</x:v>
      </x:c>
    </x:row>
    <x:row r="103" ht="46" customHeight="1">
      <x:c r="A103" s="9" t="n">
        <x:v>102</x:v>
      </x:c>
      <x:c r="B103" s="8" t="str">
        <x:v>qq6865373/qsyapi</x:v>
      </x:c>
      <x:c r="C103" s="11" t="n">
        <x:v>108</x:v>
      </x:c>
      <x:c r="D103" s="13" t="n">
        <x:v>46233.3021875</x:v>
      </x:c>
      <x:c r="E103" s="9" t="str">
        <x:v>PHP</x:v>
      </x:c>
      <x:c r="F103" s="15" t="str">
        <x:v>https://github.com/qq6865373/qsyapi</x:v>
      </x:c>
      <x:c r="G103" s="14" t="str">
        <x:v>短视频去水印API解析平台，支持抖音、快手、小红书、微信视频号、豆包、即梦AI、千问、微博、微视、今日头条、西瓜视频、哔哩哔哩、秒抽、美拍、皮皮虾、皮皮搞笑、全民小视频、火山小视频、好看视频、看点视频、全民K歌、看点视频、看点快报、度小视、QQ看点、陌陌、唱吧、YY、小咖秀、糖豆、最左、配音秀、酷狗音乐、酷我音乐、看看视频、梨视频、网易云音乐、大众点评、虎牙视频、懂车帝、剪映、趣头条、美图秀秀、京东、淘宝、天猫、拼多多、微信公众号、轻视频、微云、快看点等等200多个短视频去水印和常用图集解析去水印！https://api.zhuceka.cn</x:v>
      </x:c>
      <x:c r="H103" s="8" t="str">
        <x:v>多平台解析/下载、短视频/链接去水印、Web API / 解析服务</x:v>
      </x:c>
      <x:c r="I103" s="9" t="str">
        <x:v>有</x:v>
      </x:c>
      <x:c r="J103" s="9" t="str">
        <x:v>一般</x:v>
      </x:c>
      <x:c r="K103" s="9" t="str">
        <x:v>是（小样本参考）</x:v>
      </x:c>
      <x:c r="L103" s="8" t="str">
        <x:v>参考解析器与去水印链路</x:v>
      </x:c>
      <x:c r="M103" s="8" t="str">
        <x:v>多平台解析/下载、短视频/链接去水印、Web API / 解析服务、音频/音乐下载、AI 去字幕/去水印</x:v>
      </x:c>
    </x:row>
    <x:row r="104" ht="46" customHeight="1">
      <x:c r="A104" s="9" t="n">
        <x:v>103</x:v>
      </x:c>
      <x:c r="B104" s="8" t="str">
        <x:v>liuchuancong/parse_video</x:v>
      </x:c>
      <x:c r="C104" s="11" t="n">
        <x:v>107</x:v>
      </x:c>
      <x:c r="D104" s="13" t="n">
        <x:v>46158.29877314815</x:v>
      </x:c>
      <x:c r="E104" s="9" t="str">
        <x:v>HTML</x:v>
      </x:c>
      <x:c r="F104" s="15" t="str">
        <x:v>https://github.com/liuchuancong/parse_video</x:v>
      </x:c>
      <x:c r="G104" s="14" t="str">
        <x:v>抖音/皮皮虾/火山/微视/微博/绿洲/最右/轻视频/instagram/哔哩哔哩/快手/全民小视频/皮皮搞笑/全民k歌/巴塞电影/陌陌/Before避风/开眼/Vue Vlog/小咖秀/西瓜视频/逗拍/虎牙/6间房/新片场/Acfun/美拍</x:v>
      </x:c>
      <x:c r="H104" s="8" t="str">
        <x:v>多平台解析/下载、AI 去字幕/去水印</x:v>
      </x:c>
      <x:c r="I104" s="9" t="str">
        <x:v>部分</x:v>
      </x:c>
      <x:c r="J104" s="9" t="str">
        <x:v>一般</x:v>
      </x:c>
      <x:c r="K104" s="9" t="str">
        <x:v>是（小样本参考）</x:v>
      </x:c>
      <x:c r="L104" s="8" t="str">
        <x:v>参考多平台适配架构</x:v>
      </x:c>
      <x:c r="M104" s="8" t="str">
        <x:v>多平台解析/下载、AI 去字幕/去水印</x:v>
      </x:c>
    </x:row>
    <x:row r="105" ht="46" customHeight="1">
      <x:c r="A105" s="9" t="n">
        <x:v>104</x:v>
      </x:c>
      <x:c r="B105" s="8" t="str">
        <x:v>tskau/cobold</x:v>
      </x:c>
      <x:c r="C105" s="11" t="n">
        <x:v>107</x:v>
      </x:c>
      <x:c r="D105" s="13" t="n">
        <x:v>46211.86069444445</x:v>
      </x:c>
      <x:c r="E105" s="9" t="str">
        <x:v>TypeScript</x:v>
      </x:c>
      <x:c r="F105" s="15" t="str">
        <x:v>https://github.com/tskau/cobold</x:v>
      </x:c>
      <x:c r="G105" s="14" t="str">
        <x:v>telegram bot for downloading media, powered by cobalt</x:v>
      </x:c>
      <x:c r="H105" s="8" t="str">
        <x:v>音频/音乐下载、Telegram / Bot 集成</x:v>
      </x:c>
      <x:c r="I105" s="9" t="str">
        <x:v>否</x:v>
      </x:c>
      <x:c r="J105" s="9" t="str">
        <x:v>一般</x:v>
      </x:c>
      <x:c r="K105" s="9" t="str">
        <x:v>是（小样本参考）</x:v>
      </x:c>
      <x:c r="L105" s="8" t="str">
        <x:v>仅作功能对照</x:v>
      </x:c>
      <x:c r="M105" s="8" t="str">
        <x:v>音频/音乐下载、Telegram / Bot 集成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10" hidden="0" customWidth="1"/>
    <x:col min="5" max="5" width="18" hidden="0" customWidth="1"/>
    <x:col min="6" max="6" width="40" hidden="0" customWidth="1"/>
  </x:cols>
  <x:sheetData>
    <x:row r="1" ht="34" customHeight="1">
      <x:c r="A1" s="18" t="str">
        <x:v>功能方向频次与优先级（按 104 个对标项目统计）</x:v>
      </x:c>
    </x:row>
    <x:row r="3" ht="26" customHeight="1">
      <x:c r="A3" s="26" t="str">
        <x:v>功能方向</x:v>
      </x:c>
      <x:c r="B3" s="26" t="str">
        <x:v>出现频次</x:v>
      </x:c>
      <x:c r="C3" s="26" t="str">
        <x:v>社区主流度</x:v>
      </x:c>
      <x:c r="D3" s="26" t="str">
        <x:v>优先级</x:v>
      </x:c>
      <x:c r="E3" s="26" t="str">
        <x:v>本项目现状</x:v>
      </x:c>
      <x:c r="F3" s="26" t="str">
        <x:v>建议引入方式</x:v>
      </x:c>
    </x:row>
    <x:row r="4" ht="26" customHeight="1">
      <x:c r="A4" s="27" t="str">
        <x:v>多平台解析/下载</x:v>
      </x:c>
      <x:c r="B4" s="29" t="n">
        <x:v>87</x:v>
      </x:c>
      <x:c r="C4" s="30" t="str">
        <x:f>IF(B4&gt;=30,"高",IF(B4&gt;=15,"中高",IF(B4&gt;=5,"中","低")))</x:f>
        <x:v>高</x:v>
      </x:c>
      <x:c r="D4" s="30" t="str">
        <x:f>IF(B4&gt;=30,"P0",IF(B4&gt;=15,"P1",IF(B4&gt;=5,"P2","P3")))</x:f>
        <x:v>P0</x:v>
      </x:c>
      <x:c r="E4" s="30" t="str">
        <x:v>部分</x:v>
      </x:c>
      <x:c r="F4" s="27" t="str">
        <x:v>扩展快手/小红书/视频号/B站等解析器</x:v>
      </x:c>
    </x:row>
    <x:row r="5" ht="26" customHeight="1">
      <x:c r="A5" s="27" t="str">
        <x:v>短视频/链接去水印</x:v>
      </x:c>
      <x:c r="B5" s="29" t="n">
        <x:v>18</x:v>
      </x:c>
      <x:c r="C5" s="30" t="str">
        <x:f>IF(B5&gt;=30,"高",IF(B5&gt;=15,"中高",IF(B5&gt;=5,"中","低")))</x:f>
        <x:v>中高</x:v>
      </x:c>
      <x:c r="D5" s="30" t="str">
        <x:f>IF(B5&gt;=30,"P0",IF(B5&gt;=15,"P1",IF(B5&gt;=5,"P2","P3")))</x:f>
        <x:v>P1</x:v>
      </x:c>
      <x:c r="E5" s="30" t="str">
        <x:v>有</x:v>
      </x:c>
      <x:c r="F5" s="27" t="str">
        <x:v>强化图集/合集/短链支持</x:v>
      </x:c>
    </x:row>
    <x:row r="6" ht="26" customHeight="1">
      <x:c r="A6" s="27" t="str">
        <x:v>批量/主页下载</x:v>
      </x:c>
      <x:c r="B6" s="29" t="n">
        <x:v>19</x:v>
      </x:c>
      <x:c r="C6" s="30" t="str">
        <x:f>IF(B6&gt;=30,"高",IF(B6&gt;=15,"中高",IF(B6&gt;=5,"中","低")))</x:f>
        <x:v>中高</x:v>
      </x:c>
      <x:c r="D6" s="30" t="str">
        <x:f>IF(B6&gt;=30,"P0",IF(B6&gt;=15,"P1",IF(B6&gt;=5,"P2","P3")))</x:f>
        <x:v>P1</x:v>
      </x:c>
      <x:c r="E6" s="30" t="str">
        <x:v>部分</x:v>
      </x:c>
      <x:c r="F6" s="27" t="str">
        <x:v>增加作者主页批量解析</x:v>
      </x:c>
    </x:row>
    <x:row r="7" ht="26" customHeight="1">
      <x:c r="A7" s="27" t="str">
        <x:v>直播录制/解析</x:v>
      </x:c>
      <x:c r="B7" s="29" t="n">
        <x:v>36</x:v>
      </x:c>
      <x:c r="C7" s="30" t="str">
        <x:f>IF(B7&gt;=30,"高",IF(B7&gt;=15,"中高",IF(B7&gt;=5,"中","低")))</x:f>
        <x:v>高</x:v>
      </x:c>
      <x:c r="D7" s="30" t="str">
        <x:f>IF(B7&gt;=30,"P0",IF(B7&gt;=15,"P1",IF(B7&gt;=5,"P2","P3")))</x:f>
        <x:v>P0</x:v>
      </x:c>
      <x:c r="E7" s="30" t="str">
        <x:v>否</x:v>
      </x:c>
      <x:c r="F7" s="27" t="str">
        <x:v>先做直播流解析接口</x:v>
      </x:c>
    </x:row>
    <x:row r="8" ht="26" customHeight="1">
      <x:c r="A8" s="27" t="str">
        <x:v>桌面 GUI</x:v>
      </x:c>
      <x:c r="B8" s="29" t="n">
        <x:v>23</x:v>
      </x:c>
      <x:c r="C8" s="30" t="str">
        <x:f>IF(B8&gt;=30,"高",IF(B8&gt;=15,"中高",IF(B8&gt;=5,"中","低")))</x:f>
        <x:v>中高</x:v>
      </x:c>
      <x:c r="D8" s="30" t="str">
        <x:f>IF(B8&gt;=30,"P0",IF(B8&gt;=15,"P1",IF(B8&gt;=5,"P2","P3")))</x:f>
        <x:v>P1</x:v>
      </x:c>
      <x:c r="E8" s="30" t="str">
        <x:v>否</x:v>
      </x:c>
      <x:c r="F8" s="27" t="str">
        <x:v>可选 Electron 壳</x:v>
      </x:c>
    </x:row>
    <x:row r="9" ht="26" customHeight="1">
      <x:c r="A9" s="27" t="str">
        <x:v>浏览器扩展</x:v>
      </x:c>
      <x:c r="B9" s="29" t="n">
        <x:v>14</x:v>
      </x:c>
      <x:c r="C9" s="30" t="str">
        <x:f>IF(B9&gt;=30,"高",IF(B9&gt;=15,"中高",IF(B9&gt;=5,"中","低")))</x:f>
        <x:v>中</x:v>
      </x:c>
      <x:c r="D9" s="30" t="str">
        <x:f>IF(B9&gt;=30,"P0",IF(B9&gt;=15,"P1",IF(B9&gt;=5,"P2","P3")))</x:f>
        <x:v>P2</x:v>
      </x:c>
      <x:c r="E9" s="30" t="str">
        <x:v>否</x:v>
      </x:c>
      <x:c r="F9" s="27" t="str">
        <x:v>独立浏览器插件</x:v>
      </x:c>
    </x:row>
    <x:row r="10" ht="26" customHeight="1">
      <x:c r="A10" s="27" t="str">
        <x:v>Web API / 解析服务</x:v>
      </x:c>
      <x:c r="B10" s="29" t="n">
        <x:v>39</x:v>
      </x:c>
      <x:c r="C10" s="30" t="str">
        <x:f>IF(B10&gt;=30,"高",IF(B10&gt;=15,"中高",IF(B10&gt;=5,"中","低")))</x:f>
        <x:v>高</x:v>
      </x:c>
      <x:c r="D10" s="30" t="str">
        <x:f>IF(B10&gt;=30,"P0",IF(B10&gt;=15,"P1",IF(B10&gt;=5,"P2","P3")))</x:f>
        <x:v>P0</x:v>
      </x:c>
      <x:c r="E10" s="30" t="str">
        <x:v>有</x:v>
      </x:c>
      <x:c r="F10" s="27" t="str">
        <x:v>完善 API 文档、Token、Docker</x:v>
      </x:c>
    </x:row>
    <x:row r="11" ht="26" customHeight="1">
      <x:c r="A11" s="27" t="str">
        <x:v>搜索/账号数据采集</x:v>
      </x:c>
      <x:c r="B11" s="29" t="n">
        <x:v>13</x:v>
      </x:c>
      <x:c r="C11" s="30" t="str">
        <x:f>IF(B11&gt;=30,"高",IF(B11&gt;=15,"中高",IF(B11&gt;=5,"中","低")))</x:f>
        <x:v>中</x:v>
      </x:c>
      <x:c r="D11" s="30" t="str">
        <x:f>IF(B11&gt;=30,"P0",IF(B11&gt;=15,"P1",IF(B11&gt;=5,"P2","P3")))</x:f>
        <x:v>P2</x:v>
      </x:c>
      <x:c r="E11" s="30" t="str">
        <x:v>否</x:v>
      </x:c>
      <x:c r="F11" s="27" t="str">
        <x:v>仅做精选列表/单条</x:v>
      </x:c>
    </x:row>
    <x:row r="12" ht="26" customHeight="1">
      <x:c r="A12" s="27" t="str">
        <x:v>音频/音乐下载</x:v>
      </x:c>
      <x:c r="B12" s="29" t="n">
        <x:v>27</x:v>
      </x:c>
      <x:c r="C12" s="30" t="str">
        <x:f>IF(B12&gt;=30,"高",IF(B12&gt;=15,"中高",IF(B12&gt;=5,"中","低")))</x:f>
        <x:v>中高</x:v>
      </x:c>
      <x:c r="D12" s="30" t="str">
        <x:f>IF(B12&gt;=30,"P0",IF(B12&gt;=15,"P1",IF(B12&gt;=5,"P2","P3")))</x:f>
        <x:v>P1</x:v>
      </x:c>
      <x:c r="E12" s="30" t="str">
        <x:v>部分</x:v>
      </x:c>
      <x:c r="F12" s="27" t="str">
        <x:v>返回音乐直链并支持下载</x:v>
      </x:c>
    </x:row>
    <x:row r="13" ht="26" customHeight="1">
      <x:c r="A13" s="27" t="str">
        <x:v>AI 去字幕/去水印</x:v>
      </x:c>
      <x:c r="B13" s="29" t="n">
        <x:v>27</x:v>
      </x:c>
      <x:c r="C13" s="30" t="str">
        <x:f>IF(B13&gt;=30,"高",IF(B13&gt;=15,"中高",IF(B13&gt;=5,"中","低")))</x:f>
        <x:v>中高</x:v>
      </x:c>
      <x:c r="D13" s="30" t="str">
        <x:f>IF(B13&gt;=30,"P0",IF(B13&gt;=15,"P1",IF(B13&gt;=5,"P2","P3")))</x:f>
        <x:v>P1</x:v>
      </x:c>
      <x:c r="E13" s="30" t="str">
        <x:v>否</x:v>
      </x:c>
      <x:c r="F13" s="27" t="str">
        <x:v>二期评估本地模型成本</x:v>
      </x:c>
    </x:row>
    <x:row r="14" ht="26" customHeight="1">
      <x:c r="A14" s="27" t="str">
        <x:v>M3U8/HLS/DASH 支持</x:v>
      </x:c>
      <x:c r="B14" s="29" t="n">
        <x:v>10</x:v>
      </x:c>
      <x:c r="C14" s="30" t="str">
        <x:f>IF(B14&gt;=30,"高",IF(B14&gt;=15,"中高",IF(B14&gt;=5,"中","低")))</x:f>
        <x:v>中</x:v>
      </x:c>
      <x:c r="D14" s="30" t="str">
        <x:f>IF(B14&gt;=30,"P0",IF(B14&gt;=15,"P1",IF(B14&gt;=5,"P2","P3")))</x:f>
        <x:v>P2</x:v>
      </x:c>
      <x:c r="E14" s="30" t="str">
        <x:v>部分</x:v>
      </x:c>
      <x:c r="F14" s="27" t="str">
        <x:v>增加 HLS 解析/合并下载</x:v>
      </x:c>
    </x:row>
    <x:row r="15" ht="26" customHeight="1">
      <x:c r="A15" s="27" t="str">
        <x:v>移动端 App</x:v>
      </x:c>
      <x:c r="B15" s="29" t="n">
        <x:v>9</x:v>
      </x:c>
      <x:c r="C15" s="30" t="str">
        <x:f>IF(B15&gt;=30,"高",IF(B15&gt;=15,"中高",IF(B15&gt;=5,"中","低")))</x:f>
        <x:v>中</x:v>
      </x:c>
      <x:c r="D15" s="30" t="str">
        <x:f>IF(B15&gt;=30,"P0",IF(B15&gt;=15,"P1",IF(B15&gt;=5,"P2","P3")))</x:f>
        <x:v>P2</x:v>
      </x:c>
      <x:c r="E15" s="30" t="str">
        <x:v>否</x:v>
      </x:c>
      <x:c r="F15" s="27" t="str">
        <x:v>PWA 方案优先</x:v>
      </x:c>
    </x:row>
    <x:row r="16" ht="26" customHeight="1">
      <x:c r="A16" s="27" t="str">
        <x:v>Telegram / Bot 集成</x:v>
      </x:c>
      <x:c r="B16" s="29" t="n">
        <x:v>8</x:v>
      </x:c>
      <x:c r="C16" s="30" t="str">
        <x:f>IF(B16&gt;=30,"高",IF(B16&gt;=15,"中高",IF(B16&gt;=5,"中","低")))</x:f>
        <x:v>中</x:v>
      </x:c>
      <x:c r="D16" s="30" t="str">
        <x:f>IF(B16&gt;=30,"P0",IF(B16&gt;=15,"P1",IF(B16&gt;=5,"P2","P3")))</x:f>
        <x:v>P2</x:v>
      </x:c>
      <x:c r="E16" s="30" t="str">
        <x:v>否</x:v>
      </x:c>
      <x:c r="F16" s="27" t="str">
        <x:v>可选 Telegram bot</x:v>
      </x:c>
    </x:row>
    <x:row r="17" ht="26" customHeight="1">
      <x:c r="A17" s="27" t="str">
        <x:v>SDK / 封装库</x:v>
      </x:c>
      <x:c r="B17" s="29" t="n">
        <x:v>10</x:v>
      </x:c>
      <x:c r="C17" s="30" t="str">
        <x:f>IF(B17&gt;=30,"高",IF(B17&gt;=15,"中高",IF(B17&gt;=5,"中","低")))</x:f>
        <x:v>中</x:v>
      </x:c>
      <x:c r="D17" s="30" t="str">
        <x:f>IF(B17&gt;=30,"P0",IF(B17&gt;=15,"P1",IF(B17&gt;=5,"P2","P3")))</x:f>
        <x:v>P2</x:v>
      </x:c>
      <x:c r="E17" s="30" t="str">
        <x:v>否</x:v>
      </x:c>
      <x:c r="F17" s="27" t="str">
        <x:v>封装为 Composer 库</x:v>
      </x:c>
    </x:row>
    <x:row r="18" ht="26" customHeight="1">
      <x:c r="A18" s="27" t="str">
        <x:v>历史/备份/存档</x:v>
      </x:c>
      <x:c r="B18" s="29" t="n">
        <x:v>6</x:v>
      </x:c>
      <x:c r="C18" s="30" t="str">
        <x:f>IF(B18&gt;=30,"高",IF(B18&gt;=15,"中高",IF(B18&gt;=5,"中","低")))</x:f>
        <x:v>中</x:v>
      </x:c>
      <x:c r="D18" s="30" t="str">
        <x:f>IF(B18&gt;=30,"P0",IF(B18&gt;=15,"P1",IF(B18&gt;=5,"P2","P3")))</x:f>
        <x:v>P2</x:v>
      </x:c>
      <x:c r="E18" s="30" t="str">
        <x:v>部分</x:v>
      </x:c>
      <x:c r="F18" s="27" t="str">
        <x:v>服务端收藏夹/导出</x:v>
      </x:c>
    </x:row>
    <x:row r="20">
      <x:c r="A20" s="19" t="str">
        <x:v>功能特征观测合计</x:v>
      </x:c>
      <x:c r="B20" s="21" t="n">
        <x:f>SUM(B4:B18)</x:f>
        <x:v>346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0" hidden="0" customWidth="1"/>
    <x:col min="3" max="3" width="10" hidden="0" customWidth="1"/>
    <x:col min="4" max="4" width="13" hidden="0" customWidth="1"/>
    <x:col min="5" max="5" width="54" hidden="0" customWidth="1"/>
    <x:col min="6" max="6" width="54" hidden="0" customWidth="1"/>
    <x:col min="7" max="7" width="12" hidden="0" customWidth="1"/>
    <x:col min="8" max="8" width="16" hidden="0" customWidth="1"/>
  </x:cols>
  <x:sheetData>
    <x:row r="1" ht="40" customHeight="1">
      <x:c r="A1" s="33" t="str">
        <x:v>短视频去水印项目 · 全面升级对标分析</x:v>
      </x:c>
    </x:row>
    <x:row r="3" ht="30" customHeight="1">
      <x:c r="A3" s="38" t="str">
        <x:v>对标项目数</x:v>
      </x:c>
      <x:c r="B3" s="39" t="n">
        <x:f>COUNTA('100+对标项目'!A2:A105)</x:f>
        <x:v>104</x:v>
      </x:c>
      <x:c r="C3" s="38" t="str">
        <x:v>平均 Stars</x:v>
      </x:c>
      <x:c r="D3" s="39" t="n">
        <x:f>ROUND(AVERAGE('100+对标项目'!C2:C105),0)</x:f>
        <x:v>2489</x:v>
      </x:c>
      <x:c r="E3" s="38" t="str">
        <x:v>最高 Stars</x:v>
      </x:c>
      <x:c r="F3" s="39" t="n">
        <x:f>MAX('100+对标项目'!C2:C105)</x:f>
        <x:v>41933</x:v>
      </x:c>
      <x:c r="G3" s="38" t="str">
        <x:v>生成日期</x:v>
      </x:c>
      <x:c r="H3" s="40" t="str">
        <x:v>2026-08-04</x:v>
      </x:c>
    </x:row>
    <x:row r="5" ht="24" customHeight="1">
      <x:c r="A5" s="42" t="str">
        <x:v>Top 10 高星项目（Stars 排行）</x:v>
      </x:c>
    </x:row>
    <x:row r="6" ht="44" customHeight="1">
      <x:c r="A6" s="26" t="str">
        <x:v>项目</x:v>
      </x:c>
      <x:c r="B6" s="26" t="str">
        <x:v>Stars</x:v>
      </x:c>
      <x:c r="C6" s="26" t="str">
        <x:v>语言</x:v>
      </x:c>
      <x:c r="D6" s="26" t="str">
        <x:v>最近更新</x:v>
      </x:c>
      <x:c r="E6" s="26" t="str">
        <x:v>核心功能</x:v>
      </x:c>
      <x:c r="F6" s="26" t="str">
        <x:v>项目地址</x:v>
      </x:c>
      <x:c r="G6" s="26" t="str">
        <x:v>状态</x:v>
      </x:c>
      <x:c r="H6" s="26" t="str">
        <x:v>建议</x:v>
      </x:c>
    </x:row>
    <x:row r="7" ht="44" customHeight="1">
      <x:c r="A7" s="8" t="str">
        <x:f>'100+对标项目'!B2</x:f>
        <x:v>imputnet/cobalt</x:v>
      </x:c>
      <x:c r="B7" s="11" t="n">
        <x:f>'100+对标项目'!C2</x:f>
        <x:v>41933</x:v>
      </x:c>
      <x:c r="C7" s="9" t="str">
        <x:f>'100+对标项目'!E2</x:f>
        <x:v>Svelte</x:v>
      </x:c>
      <x:c r="D7" s="13" t="n">
        <x:f>'100+对标项目'!D2</x:f>
        <x:v>46118.4999537037</x:v>
      </x:c>
      <x:c r="E7" s="14" t="str">
        <x:f>'100+对标项目'!G2</x:f>
        <x:v>best way to save what you love</x:v>
      </x:c>
      <x:c r="F7" s="15" t="str">
        <x:f>'100+对标项目'!F2</x:f>
        <x:v>https://github.com/imputnet/cobalt</x:v>
      </x:c>
      <x:c r="G7" s="9" t="str">
        <x:f>'100+对标项目'!I2</x:f>
        <x:v>有</x:v>
      </x:c>
      <x:c r="H7" s="9" t="str">
        <x:f>'100+对标项目'!K2</x:f>
        <x:v>是（参考）</x:v>
      </x:c>
    </x:row>
    <x:row r="8" ht="44" customHeight="1">
      <x:c r="A8" s="8" t="str">
        <x:f>'100+对标项目'!B3</x:f>
        <x:v>xifangczy/cat-catch</x:v>
      </x:c>
      <x:c r="B8" s="11" t="n">
        <x:f>'100+对标项目'!C3</x:f>
        <x:v>21117</x:v>
      </x:c>
      <x:c r="C8" s="9" t="str">
        <x:f>'100+对标项目'!E3</x:f>
        <x:v>JavaScript</x:v>
      </x:c>
      <x:c r="D8" s="13" t="n">
        <x:f>'100+对标项目'!D3</x:f>
        <x:v>46237.7677662037</x:v>
      </x:c>
      <x:c r="E8" s="14" t="str">
        <x:f>'100+对标项目'!G3</x:f>
        <x:v>猫抓 浏览器资源嗅探扩展 / cat-catch Browser Resource Sniffing Extension</x:v>
      </x:c>
      <x:c r="F8" s="15" t="str">
        <x:f>'100+对标项目'!F3</x:f>
        <x:v>https://github.com/xifangczy/cat-catch</x:v>
      </x:c>
      <x:c r="G8" s="9" t="str">
        <x:f>'100+对标项目'!I3</x:f>
        <x:v>部分</x:v>
      </x:c>
      <x:c r="H8" s="9" t="str">
        <x:f>'100+对标项目'!K3</x:f>
        <x:v>是（参考）</x:v>
      </x:c>
    </x:row>
    <x:row r="9" ht="44" customHeight="1">
      <x:c r="A9" s="8" t="str">
        <x:f>'100+对标项目'!B4</x:f>
        <x:v>putyy/res-downloader</x:v>
      </x:c>
      <x:c r="B9" s="11" t="n">
        <x:f>'100+对标项目'!C4</x:f>
        <x:v>18934</x:v>
      </x:c>
      <x:c r="C9" s="9" t="str">
        <x:f>'100+对标项目'!E4</x:f>
        <x:v>Go</x:v>
      </x:c>
      <x:c r="D9" s="13" t="n">
        <x:f>'100+对标项目'!D4</x:f>
        <x:v>46191.996712962966</x:v>
      </x:c>
      <x:c r="E9" s="14" t="str">
        <x:f>'100+对标项目'!G4</x:f>
        <x:v>视频号、小程序、抖音、快手、小红书、直播流、m3u8、酷狗、QQ音乐等常见网络资源下载!</x:v>
      </x:c>
      <x:c r="F9" s="15" t="str">
        <x:f>'100+对标项目'!F4</x:f>
        <x:v>https://github.com/putyy/res-downloader</x:v>
      </x:c>
      <x:c r="G9" s="9" t="str">
        <x:f>'100+对标项目'!I4</x:f>
        <x:v>部分</x:v>
      </x:c>
      <x:c r="H9" s="9" t="str">
        <x:f>'100+对标项目'!K4</x:f>
        <x:v>是（参考）</x:v>
      </x:c>
    </x:row>
    <x:row r="10" ht="44" customHeight="1">
      <x:c r="A10" s="8" t="str">
        <x:f>'100+对标项目'!B5</x:f>
        <x:v>JoeanAmier/TikTokDownloader</x:v>
      </x:c>
      <x:c r="B10" s="11" t="n">
        <x:f>'100+对标项目'!C5</x:f>
        <x:v>15311</x:v>
      </x:c>
      <x:c r="C10" s="9" t="str">
        <x:f>'100+对标项目'!E5</x:f>
        <x:v>Python</x:v>
      </x:c>
      <x:c r="D10" s="13" t="n">
        <x:f>'100+对标项目'!D5</x:f>
        <x:v>46236.13667824074</x:v>
      </x:c>
      <x:c r="E10" s="14" t="str">
        <x:f>'100+对标项目'!G5</x:f>
        <x:v>TikTok 发布/喜欢/合辑/直播/视频/图集/音乐；抖音发布/喜欢/收藏/收藏夹/视频/图集/实况/直播/音乐/合集/评论/账号/搜索/热榜数据采集工具/下载工具</x:v>
      </x:c>
      <x:c r="F10" s="15" t="str">
        <x:f>'100+对标项目'!F5</x:f>
        <x:v>https://github.com/JoeanAmier/TikTokDownloader</x:v>
      </x:c>
      <x:c r="G10" s="9" t="str">
        <x:f>'100+对标项目'!I5</x:f>
        <x:v>有</x:v>
      </x:c>
      <x:c r="H10" s="9" t="str">
        <x:f>'100+对标项目'!K5</x:f>
        <x:v>是（参考）</x:v>
      </x:c>
    </x:row>
    <x:row r="11" ht="44" customHeight="1">
      <x:c r="A11" s="8" t="str">
        <x:f>'100+对标项目'!B6</x:f>
        <x:v>dreammis/social-auto-upload</x:v>
      </x:c>
      <x:c r="B11" s="11" t="n">
        <x:f>'100+对标项目'!C6</x:f>
        <x:v>13962</x:v>
      </x:c>
      <x:c r="C11" s="9" t="str">
        <x:f>'100+对标项目'!E6</x:f>
        <x:v>Python</x:v>
      </x:c>
      <x:c r="D11" s="13" t="n">
        <x:f>'100+对标项目'!D6</x:f>
        <x:v>46234.204930555556</x:v>
      </x:c>
      <x:c r="E11" s="14" t="str">
        <x:f>'100+对标项目'!G6</x:f>
        <x:v>自动化上传视频到社交媒体：抖音、小红书、视频号、tiktok、youtube、bilibili</x:v>
      </x:c>
      <x:c r="F11" s="15" t="str">
        <x:f>'100+对标项目'!F6</x:f>
        <x:v>https://github.com/dreammis/social-auto-upload</x:v>
      </x:c>
      <x:c r="G11" s="9" t="str">
        <x:f>'100+对标项目'!I6</x:f>
        <x:v>部分</x:v>
      </x:c>
      <x:c r="H11" s="9" t="str">
        <x:f>'100+对标项目'!K6</x:f>
        <x:v>是（参考）</x:v>
      </x:c>
    </x:row>
    <x:row r="12" ht="44" customHeight="1">
      <x:c r="A12" s="8" t="str">
        <x:f>'100+对标项目'!B7</x:f>
        <x:v>YaoFANGUK/video-subtitle-remover</x:v>
      </x:c>
      <x:c r="B12" s="11" t="n">
        <x:f>'100+对标项目'!C7</x:f>
        <x:v>12194</x:v>
      </x:c>
      <x:c r="C12" s="9" t="str">
        <x:f>'100+对标项目'!E7</x:f>
        <x:v>Python</x:v>
      </x:c>
      <x:c r="D12" s="13" t="n">
        <x:f>'100+对标项目'!D7</x:f>
        <x:v>46203.046435185184</x:v>
      </x:c>
      <x:c r="E12" s="14" t="str">
        <x:f>'100+对标项目'!G7</x:f>
        <x:v>基于AI的图片/视频硬字幕去除、文本水印去除，无损分辨率生成去字幕、去水印后的图片/视频文件。无需申请第三方API，本地实现。AI-based tool for removing hard-coded subtitles and text-like watermarks from videos or Pictures.</x:v>
      </x:c>
      <x:c r="F12" s="15" t="str">
        <x:f>'100+对标项目'!F7</x:f>
        <x:v>https://github.com/YaoFANGUK/video-subtitle-remover</x:v>
      </x:c>
      <x:c r="G12" s="9" t="str">
        <x:f>'100+对标项目'!I7</x:f>
        <x:v>有</x:v>
      </x:c>
      <x:c r="H12" s="9" t="str">
        <x:f>'100+对标项目'!K7</x:f>
        <x:v>是（参考）</x:v>
      </x:c>
    </x:row>
    <x:row r="13" ht="44" customHeight="1">
      <x:c r="A13" s="8" t="str">
        <x:f>'100+对标项目'!B8</x:f>
        <x:v>zyronon/douyin</x:v>
      </x:c>
      <x:c r="B13" s="11" t="n">
        <x:f>'100+对标项目'!C8</x:f>
        <x:v>11516</x:v>
      </x:c>
      <x:c r="C13" s="9" t="str">
        <x:f>'100+对标项目'!E8</x:f>
        <x:v>Vue</x:v>
      </x:c>
      <x:c r="D13" s="13" t="n">
        <x:f>'100+对标项目'!D8</x:f>
        <x:v>46224.63140046296</x:v>
      </x:c>
      <x:c r="E13" s="14" t="str">
        <x:f>'100+对标项目'!G8</x:f>
        <x:v> Vue3 + Pinia 仿抖音，Vue 在移动端的最佳实践 .  Imitate TikTok ，Vue Best practices on Mobile</x:v>
      </x:c>
      <x:c r="F13" s="15" t="str">
        <x:f>'100+对标项目'!F8</x:f>
        <x:v>https://github.com/zyronon/douyin</x:v>
      </x:c>
      <x:c r="G13" s="9" t="str">
        <x:f>'100+对标项目'!I8</x:f>
        <x:v>部分</x:v>
      </x:c>
      <x:c r="H13" s="9" t="str">
        <x:f>'100+对标项目'!K8</x:f>
        <x:v>是（参考）</x:v>
      </x:c>
    </x:row>
    <x:row r="14" ht="44" customHeight="1">
      <x:c r="A14" s="8" t="str">
        <x:f>'100+对标项目'!B9</x:f>
        <x:v>filecxx/FileCentipede</x:v>
      </x:c>
      <x:c r="B14" s="11" t="n">
        <x:f>'100+对标项目'!C9</x:f>
        <x:v>10892</x:v>
      </x:c>
      <x:c r="C14" s="9" t="str">
        <x:f>'100+对标项目'!E9</x:f>
        <x:v>C++</x:v>
      </x:c>
      <x:c r="D14" s="13" t="n">
        <x:f>'100+对标项目'!D9</x:f>
        <x:v>46229.35327546296</x:v>
      </x:c>
      <x:c r="E14" s="14" t="str">
        <x:f>'100+对标项目'!G9</x:f>
        <x:v>Cross-platform internet upload/download manager for HTTP(S), FTP(S), SSH, magnet-link, BitTorrent, m3u8, ed2k, and online videos.  WebDAV client, FTP client, SSH client.</x:v>
      </x:c>
      <x:c r="F14" s="15" t="str">
        <x:f>'100+对标项目'!F9</x:f>
        <x:v>https://github.com/filecxx/FileCentipede</x:v>
      </x:c>
      <x:c r="G14" s="9" t="str">
        <x:f>'100+对标项目'!I9</x:f>
        <x:v>有</x:v>
      </x:c>
      <x:c r="H14" s="9" t="str">
        <x:f>'100+对标项目'!K9</x:f>
        <x:v>是（参考）</x:v>
      </x:c>
    </x:row>
    <x:row r="15" ht="44" customHeight="1">
      <x:c r="A15" s="8" t="str">
        <x:f>'100+对标项目'!B10</x:f>
        <x:v>ihmily/DouyinLiveRecorder</x:v>
      </x:c>
      <x:c r="B15" s="11" t="n">
        <x:f>'100+对标项目'!C10</x:f>
        <x:v>10641</x:v>
      </x:c>
      <x:c r="C15" s="9" t="str">
        <x:f>'100+对标项目'!E10</x:f>
        <x:v>Python</x:v>
      </x:c>
      <x:c r="D15" s="13" t="n">
        <x:f>'100+对标项目'!D10</x:f>
        <x:v>46113.61478009259</x:v>
      </x:c>
      <x:c r="E15" s="14" t="str">
        <x:f>'100+对标项目'!G10</x:f>
        <x:v>可循环值守和多人录制的直播录制软件，支持抖音、TikTok、Youtube、快手、虎牙、斗鱼、B站、小红书、pandatv、sooplive、flextv、popkontv、twitcasting、winktv、百度、微博、酷狗、17Live、Twitch、Acfun、CHZZK、shopee等40+平台直播录制</x:v>
      </x:c>
      <x:c r="F15" s="15" t="str">
        <x:f>'100+对标项目'!F10</x:f>
        <x:v>https://github.com/ihmily/DouyinLiveRecorder</x:v>
      </x:c>
      <x:c r="G15" s="9" t="str">
        <x:f>'100+对标项目'!I10</x:f>
        <x:v>有</x:v>
      </x:c>
      <x:c r="H15" s="9" t="str">
        <x:f>'100+对标项目'!K10</x:f>
        <x:v>是（参考）</x:v>
      </x:c>
    </x:row>
    <x:row r="16" ht="44" customHeight="1">
      <x:c r="A16" s="8" t="str">
        <x:f>'100+对标项目'!B11</x:f>
        <x:v>nexmoe/VidBee</x:v>
      </x:c>
      <x:c r="B16" s="11" t="n">
        <x:f>'100+对标项目'!C11</x:f>
        <x:v>10079</x:v>
      </x:c>
      <x:c r="C16" s="9" t="str">
        <x:f>'100+对标项目'!E11</x:f>
        <x:v>TypeScript</x:v>
      </x:c>
      <x:c r="D16" s="13" t="n">
        <x:f>'100+对标项目'!D11</x:f>
        <x:v>46231.71454861111</x:v>
      </x:c>
      <x:c r="E16" s="14" t="str">
        <x:f>'100+对标项目'!G11</x:f>
        <x:v>Download videos from almost any website worldwide</x:v>
      </x:c>
      <x:c r="F16" s="15" t="str">
        <x:f>'100+对标项目'!F11</x:f>
        <x:v>https://github.com/nexmoe/VidBee</x:v>
      </x:c>
      <x:c r="G16" s="9" t="str">
        <x:f>'100+对标项目'!I11</x:f>
        <x:v>有</x:v>
      </x:c>
      <x:c r="H16" s="9" t="str">
        <x:f>'100+对标项目'!K11</x:f>
        <x:v>是（参考）</x:v>
      </x:c>
    </x:row>
    <x:row r="18" ht="42" customHeight="1">
      <x:c r="A18" s="45" t="str">
        <x:v>数据来源：GitHub Search API（stars:&gt;100、近 6 个月有更新），2026-08-04 采集；完整 104 个项目见“100+对标项目”表，每个项目均附原始仓库地址。</x:v>
      </x:c>
    </x:row>
  </x:sheetData>
  <x:mergeCells>
    <x:mergeCell ref="A1:H1"/>
    <x:mergeCell ref="A5:H5"/>
    <x:mergeCell ref="A18:H18"/>
  </x:mergeCells>
  <x:pageMargins left="0.7" right="0.7" top="0.75" bottom="0.75" header="0.3" footer="0.3"/>
  <x:drawing xmlns:r="http://schemas.openxmlformats.org/officeDocument/2006/relationships" r:id="Rd7ede87f40e44938"/>
</x:worksheet>
</file>